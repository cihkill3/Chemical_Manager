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7675" yWindow="0" windowWidth="28800" windowHeight="11850"/>
  </bookViews>
  <sheets>
    <sheet name="ChemicalList" sheetId="1" r:id="rId1"/>
    <sheet name="index" sheetId="2" r:id="rId2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6" i="1"/>
  <c r="N17" i="1"/>
  <c r="N2" i="1"/>
  <c r="N19" i="1"/>
  <c r="N3" i="1"/>
  <c r="N15" i="1"/>
  <c r="N7" i="1"/>
  <c r="N21" i="1"/>
  <c r="N5" i="1"/>
  <c r="N4" i="1"/>
  <c r="N20" i="1"/>
  <c r="N22" i="1"/>
  <c r="N16" i="1"/>
  <c r="N23" i="1"/>
  <c r="N18" i="1"/>
  <c r="N8" i="1"/>
  <c r="N12" i="1"/>
  <c r="N13" i="1"/>
  <c r="N10" i="1"/>
  <c r="N9" i="1"/>
  <c r="N14" i="1"/>
  <c r="N11" i="1"/>
</calcChain>
</file>

<file path=xl/sharedStrings.xml><?xml version="1.0" encoding="utf-8"?>
<sst xmlns="http://schemas.openxmlformats.org/spreadsheetml/2006/main" count="209" uniqueCount="123">
  <si>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</si>
  <si>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</si>
  <si>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</si>
  <si>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</si>
  <si>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</si>
  <si>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</si>
  <si>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</si>
  <si>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</si>
  <si>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</si>
  <si>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</si>
  <si>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</si>
  <si>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</si>
  <si>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</si>
  <si>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</si>
  <si>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</si>
  <si>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</si>
  <si>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</si>
  <si>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</si>
  <si>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</si>
  <si>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</si>
  <si>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</si>
  <si>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</si>
  <si>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</si>
  <si>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</si>
  <si>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</si>
  <si>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26-0009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</si>
  <si>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</si>
  <si>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</si>
  <si>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</si>
  <si>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</si>
  <si>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</si>
  <si>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</si>
  <si>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</si>
  <si>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</si>
  <si>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</si>
  <si>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26-0015</t>
  </si>
  <si>
    <t>최희선</t>
  </si>
  <si>
    <t>Vacuum pump Oil 4L * 1ea</t>
  </si>
  <si>
    <t>13g</t>
  </si>
  <si>
    <t>26-0025</t>
  </si>
  <si>
    <t>이지</t>
  </si>
  <si>
    <t>anti-mouse CD31 (PECAM-1) 100ug</t>
  </si>
  <si>
    <t>26-0033</t>
  </si>
  <si>
    <t>DMEM * 40ea</t>
  </si>
  <si>
    <t>26-0038</t>
  </si>
  <si>
    <t>[I0634] Ionomycin calcium salt</t>
  </si>
  <si>
    <t>fff</t>
  </si>
  <si>
    <t>a</t>
  </si>
  <si>
    <t>35w5</t>
  </si>
  <si>
    <t>2w5w</t>
  </si>
  <si>
    <t>26-0040</t>
  </si>
  <si>
    <t>[B7651] Brefeldin A</t>
  </si>
  <si>
    <t>26-0043</t>
  </si>
  <si>
    <t>[ab213480] Anti-PD-L1 antibody</t>
  </si>
  <si>
    <t>26-0045</t>
  </si>
  <si>
    <t>박은영</t>
  </si>
  <si>
    <t>Hydrocortisone-Water Soluble</t>
  </si>
  <si>
    <t>26-0049</t>
  </si>
  <si>
    <t>[S0809.5000] Sucrose</t>
  </si>
  <si>
    <t>26-0057</t>
  </si>
  <si>
    <t>윤벼리</t>
  </si>
  <si>
    <t>[ab76003] Anti-MMP9 antibody [EP1254]</t>
  </si>
  <si>
    <t>afd</t>
  </si>
  <si>
    <t>26-0060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</si>
  <si>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</si>
  <si>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</si>
  <si>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</si>
  <si>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</si>
  <si>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</si>
  <si>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</si>
  <si>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</si>
  <si>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1/9</t>
  </si>
  <si>
    <t>1/13</t>
  </si>
  <si>
    <t>1/6</t>
  </si>
  <si>
    <t>1/14</t>
  </si>
  <si>
    <t>1/22</t>
  </si>
  <si>
    <t>1/26</t>
  </si>
  <si>
    <t>1/28</t>
  </si>
  <si>
    <t>1/29</t>
  </si>
  <si>
    <t>2/4</t>
  </si>
  <si>
    <t>Fb1</t>
  </si>
  <si>
    <t>Fb1</t>
    <phoneticPr fontId="1" type="noConversion"/>
  </si>
  <si>
    <t>RT</t>
    <phoneticPr fontId="1" type="noConversion"/>
  </si>
  <si>
    <t>26-0078</t>
  </si>
  <si>
    <t>2/19</t>
  </si>
  <si>
    <t>최수민</t>
  </si>
  <si>
    <t>ICG NHS Ester, 5 mg *1ea</t>
  </si>
  <si>
    <t>f</t>
  </si>
  <si>
    <t>R</t>
    <phoneticPr fontId="1" type="noConversion"/>
  </si>
  <si>
    <t>26-0102</t>
  </si>
  <si>
    <t>3/11</t>
  </si>
  <si>
    <t>Serotonin hydrochloride 100mg</t>
  </si>
  <si>
    <t>26-0114</t>
  </si>
  <si>
    <t>3/17</t>
  </si>
  <si>
    <t>Ezatiostat 5mg</t>
  </si>
  <si>
    <t>26-0125</t>
  </si>
  <si>
    <t>3/5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</si>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</sst>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L24" sqref="L24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106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>IF($L2&gt;$M2,"O","X")</f>
        <v>O</v>
      </c>
    </row>
    <row r="3" spans="1:15">
      <c r="B3" s="11"/>
      <c r="C3" s="12"/>
      <c r="D3" s="7" t="s">
        <v>109</v>
      </c>
      <c r="E3" s="9" t="s">
        <v>102</v>
      </c>
      <c r="F3" s="10" t="s">
        <v>105</v>
      </c>
      <c r="G3" s="9" t="s">
        <v>110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>IF($L3&gt;$M3,"O","X")</f>
        <v>O</v>
      </c>
    </row>
    <row r="4" spans="1:15">
      <c r="A4" s="1" t="s">
        <v>39</v>
      </c>
      <c r="B4" s="3" t="s">
        <v>74</v>
      </c>
      <c r="C4" s="1" t="s">
        <v>40</v>
      </c>
      <c r="D4" s="1" t="s">
        <v>41</v>
      </c>
      <c r="E4" s="1" t="s">
        <v>31</v>
      </c>
      <c r="F4" s="1" t="s">
        <v>38</v>
      </c>
      <c r="G4" s="1" t="s">
        <v>33</v>
      </c>
      <c r="H4" s="1" t="s">
        <v>34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>IF($L4&gt;$M4,"O","X")</f>
        <v>O</v>
      </c>
      <c r="O4" s="1"/>
    </row>
    <row r="5" spans="1:15">
      <c r="A5" s="1" t="s">
        <v>35</v>
      </c>
      <c r="B5" s="3" t="s">
        <v>73</v>
      </c>
      <c r="C5" s="1" t="s">
        <v>36</v>
      </c>
      <c r="D5" s="1" t="s">
        <v>37</v>
      </c>
      <c r="E5" s="1" t="s">
        <v>31</v>
      </c>
      <c r="F5" s="1" t="s">
        <v>38</v>
      </c>
      <c r="G5" s="1" t="s">
        <v>33</v>
      </c>
      <c r="H5" s="1" t="s">
        <v>34</v>
      </c>
      <c r="I5" s="1">
        <v>309</v>
      </c>
      <c r="J5" s="1" t="s">
        <v>16</v>
      </c>
      <c r="K5" s="1" t="s">
        <v>80</v>
      </c>
      <c r="L5" s="1">
        <v>1</v>
      </c>
      <c r="M5" s="1"/>
      <c r="N5" s="1" t="str">
        <f>IF($L5&gt;$M5,"O","X")</f>
        <v>O</v>
      </c>
      <c r="O5" s="1"/>
    </row>
    <row r="6" spans="1:15">
      <c r="B6" s="11"/>
      <c r="C6" s="12"/>
      <c r="D6" s="7" t="s">
        <v>99</v>
      </c>
      <c r="E6" s="9" t="s">
        <v>102</v>
      </c>
      <c r="F6" s="10" t="s">
        <v>101</v>
      </c>
      <c r="G6" s="8" t="s">
        <v>100</v>
      </c>
      <c r="H6" s="9">
        <v>359238</v>
      </c>
      <c r="I6" s="1">
        <v>309</v>
      </c>
      <c r="J6" s="1" t="s">
        <v>114</v>
      </c>
      <c r="K6" s="1" t="s">
        <v>120</v>
      </c>
      <c r="L6" s="10">
        <v>1</v>
      </c>
      <c r="N6" s="1" t="str">
        <f>IF($L6&gt;$M6,"O","X")</f>
        <v>O</v>
      </c>
    </row>
    <row r="7" spans="1:15">
      <c r="A7" s="1" t="s">
        <v>25</v>
      </c>
      <c r="B7" s="3" t="s">
        <v>71</v>
      </c>
      <c r="C7" s="1" t="s">
        <v>26</v>
      </c>
      <c r="D7" s="1" t="s">
        <v>27</v>
      </c>
      <c r="E7" s="1"/>
      <c r="F7" s="1"/>
      <c r="G7" s="1"/>
      <c r="H7" s="1"/>
      <c r="I7" s="1">
        <v>309</v>
      </c>
      <c r="J7" s="1" t="s">
        <v>82</v>
      </c>
      <c r="K7" s="1" t="s">
        <v>80</v>
      </c>
      <c r="L7" s="1">
        <v>1</v>
      </c>
      <c r="M7" s="1"/>
      <c r="N7" s="1" t="str">
        <f>IF($L7&gt;$M7,"O","X")</f>
        <v>O</v>
      </c>
      <c r="O7" s="1"/>
    </row>
    <row r="8" spans="1:15">
      <c r="A8" s="1" t="s">
        <v>57</v>
      </c>
      <c r="B8" s="3" t="s">
        <v>78</v>
      </c>
      <c r="C8" s="1" t="s">
        <v>29</v>
      </c>
      <c r="D8" s="1" t="s">
        <v>58</v>
      </c>
      <c r="E8" s="1"/>
      <c r="F8" s="1"/>
      <c r="G8" s="1"/>
      <c r="H8" s="1"/>
      <c r="I8" s="1">
        <v>1001</v>
      </c>
      <c r="J8" s="1" t="s">
        <v>17</v>
      </c>
      <c r="K8" s="1" t="s">
        <v>22</v>
      </c>
      <c r="L8" s="1">
        <v>4</v>
      </c>
      <c r="M8" s="1">
        <v>3</v>
      </c>
      <c r="N8" s="1" t="str">
        <f>IF($L8&gt;$M8,"O","X")</f>
        <v>O</v>
      </c>
      <c r="O8" s="1"/>
    </row>
    <row r="9" spans="1:15">
      <c r="A9" s="1" t="s">
        <v>89</v>
      </c>
      <c r="B9" s="3" t="s">
        <v>90</v>
      </c>
      <c r="C9" s="1" t="s">
        <v>26</v>
      </c>
      <c r="D9" s="1" t="s">
        <v>91</v>
      </c>
      <c r="E9" s="1"/>
      <c r="F9" s="1"/>
      <c r="G9" s="1"/>
      <c r="H9" s="1"/>
      <c r="I9" s="1">
        <v>1001</v>
      </c>
      <c r="J9" s="1" t="s">
        <v>17</v>
      </c>
      <c r="K9" s="1" t="s">
        <v>22</v>
      </c>
      <c r="L9" s="1">
        <v>1</v>
      </c>
      <c r="M9" s="1"/>
      <c r="N9" s="1" t="str">
        <f>IF($L9&gt;$M9,"O","X")</f>
        <v>O</v>
      </c>
      <c r="O9" s="1"/>
    </row>
    <row r="10" spans="1:15">
      <c r="A10" s="1" t="s">
        <v>83</v>
      </c>
      <c r="B10" s="3" t="s">
        <v>84</v>
      </c>
      <c r="C10" s="1" t="s">
        <v>85</v>
      </c>
      <c r="D10" s="1" t="s">
        <v>86</v>
      </c>
      <c r="E10" s="1"/>
      <c r="F10" s="1" t="s">
        <v>87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>IF($L10&gt;$M10,"O","X")</f>
        <v>O</v>
      </c>
      <c r="O10" s="1"/>
    </row>
    <row r="11" spans="1:15">
      <c r="A11" s="1" t="s">
        <v>95</v>
      </c>
      <c r="B11" s="3" t="s">
        <v>96</v>
      </c>
      <c r="C11" s="1" t="s">
        <v>97</v>
      </c>
      <c r="D11" s="1" t="s">
        <v>98</v>
      </c>
      <c r="E11" s="1"/>
      <c r="F11" s="1"/>
      <c r="G11" s="1"/>
      <c r="H11" s="1"/>
      <c r="I11" s="1">
        <v>1001</v>
      </c>
      <c r="J11" s="1" t="s">
        <v>114</v>
      </c>
      <c r="K11" s="1" t="s">
        <v>120</v>
      </c>
      <c r="L11" s="1">
        <v>1</v>
      </c>
      <c r="M11" s="1"/>
      <c r="N11" s="1" t="str">
        <f>IF($L11&gt;$M11,"O","X")</f>
        <v>O</v>
      </c>
      <c r="O11" s="1"/>
    </row>
    <row r="12" spans="1:15">
      <c r="A12" s="1" t="s">
        <v>59</v>
      </c>
      <c r="B12" s="3" t="s">
        <v>79</v>
      </c>
      <c r="C12" s="1" t="s">
        <v>60</v>
      </c>
      <c r="D12" s="1" t="s">
        <v>61</v>
      </c>
      <c r="E12" s="1">
        <v>1</v>
      </c>
      <c r="F12" s="1">
        <v>1</v>
      </c>
      <c r="G12" s="1" t="s">
        <v>62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>IF($L12&gt;$M12,"O","X")</f>
        <v>O</v>
      </c>
      <c r="O12" s="1"/>
    </row>
    <row r="13" spans="1:15">
      <c r="A13" s="1" t="s">
        <v>63</v>
      </c>
      <c r="B13" s="3" t="s">
        <v>79</v>
      </c>
      <c r="C13" s="1" t="s">
        <v>60</v>
      </c>
      <c r="D13" s="1" t="s">
        <v>64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>
        <v>1</v>
      </c>
      <c r="M13" s="1"/>
      <c r="N13" s="1" t="str">
        <f>IF($L13&gt;$M13,"O","X")</f>
        <v>O</v>
      </c>
      <c r="O13" s="1"/>
    </row>
    <row r="14" spans="1:15">
      <c r="A14" s="1" t="s">
        <v>92</v>
      </c>
      <c r="B14" s="3" t="s">
        <v>93</v>
      </c>
      <c r="C14" s="1" t="s">
        <v>26</v>
      </c>
      <c r="D14" s="1" t="s">
        <v>94</v>
      </c>
      <c r="E14" s="1"/>
      <c r="F14" s="1"/>
      <c r="G14" s="1"/>
      <c r="H14" s="1"/>
      <c r="I14" s="1">
        <v>1001</v>
      </c>
      <c r="J14" s="1" t="s">
        <v>15</v>
      </c>
      <c r="K14" s="1" t="s">
        <v>19</v>
      </c>
      <c r="L14" s="1">
        <v>1</v>
      </c>
      <c r="M14" s="1"/>
      <c r="N14" s="1" t="str">
        <f>IF($L14&gt;$M14,"O","X")</f>
        <v>O</v>
      </c>
      <c r="O14" s="1"/>
    </row>
    <row r="15" spans="1:15">
      <c r="B15" s="11"/>
      <c r="C15" s="12"/>
      <c r="D15" s="7" t="s">
        <v>111</v>
      </c>
      <c r="E15" s="9" t="s">
        <v>102</v>
      </c>
      <c r="F15" s="10" t="s">
        <v>113</v>
      </c>
      <c r="G15" s="8" t="s">
        <v>112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>IF($L15&gt;$M15,"O","X")</f>
        <v>O</v>
      </c>
    </row>
    <row r="16" spans="1:15">
      <c r="A16" s="1" t="s">
        <v>50</v>
      </c>
      <c r="B16" s="3" t="s">
        <v>76</v>
      </c>
      <c r="C16" s="1" t="s">
        <v>29</v>
      </c>
      <c r="D16" s="1" t="s">
        <v>51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>IF($L16&gt;$M16,"O","X")</f>
        <v>O</v>
      </c>
      <c r="O16" s="1"/>
    </row>
    <row r="17" spans="1:15">
      <c r="B17" s="11"/>
      <c r="C17" s="12"/>
      <c r="D17" s="7" t="s">
        <v>103</v>
      </c>
      <c r="E17" s="9" t="s">
        <v>102</v>
      </c>
      <c r="F17" s="10" t="s">
        <v>105</v>
      </c>
      <c r="G17" s="8" t="s">
        <v>104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>IF($L17&gt;$M17,"O","X")</f>
        <v>O</v>
      </c>
    </row>
    <row r="18" spans="1:15">
      <c r="A18" s="1" t="s">
        <v>54</v>
      </c>
      <c r="B18" s="3" t="s">
        <v>75</v>
      </c>
      <c r="C18" s="1" t="s">
        <v>55</v>
      </c>
      <c r="D18" s="1" t="s">
        <v>56</v>
      </c>
      <c r="E18" s="1"/>
      <c r="F18" s="1"/>
      <c r="G18" s="1"/>
      <c r="H18" s="1"/>
      <c r="I18" s="1">
        <v>1018</v>
      </c>
      <c r="J18" s="1" t="s">
        <v>16</v>
      </c>
      <c r="K18" s="1" t="s">
        <v>21</v>
      </c>
      <c r="L18" s="1">
        <v>2</v>
      </c>
      <c r="M18" s="1">
        <v>1</v>
      </c>
      <c r="N18" s="1" t="str">
        <f>IF($L18&gt;$M18,"O","X")</f>
        <v>O</v>
      </c>
      <c r="O18" s="1"/>
    </row>
    <row r="19" spans="1:15">
      <c r="B19" s="11"/>
      <c r="C19" s="12"/>
      <c r="D19" s="7" t="s">
        <v>107</v>
      </c>
      <c r="E19" s="9" t="s">
        <v>108</v>
      </c>
      <c r="F19" s="10"/>
      <c r="G19" s="8"/>
      <c r="H19" s="9"/>
      <c r="I19" s="1">
        <v>1018</v>
      </c>
      <c r="J19" s="1" t="s">
        <v>114</v>
      </c>
      <c r="K19" s="1" t="s">
        <v>120</v>
      </c>
      <c r="L19" s="10">
        <v>1</v>
      </c>
      <c r="N19" s="1" t="str">
        <f>IF($L19&gt;$M19,"O","X")</f>
        <v>O</v>
      </c>
    </row>
    <row r="20" spans="1:15">
      <c r="A20" s="1" t="s">
        <v>42</v>
      </c>
      <c r="B20" s="3" t="s">
        <v>75</v>
      </c>
      <c r="C20" s="1" t="s">
        <v>26</v>
      </c>
      <c r="D20" s="1" t="s">
        <v>43</v>
      </c>
      <c r="E20" s="1"/>
      <c r="F20" s="1"/>
      <c r="G20" s="1"/>
      <c r="H20" s="1"/>
      <c r="I20" s="1">
        <v>1018</v>
      </c>
      <c r="J20" s="1" t="s">
        <v>114</v>
      </c>
      <c r="K20" s="1" t="s">
        <v>120</v>
      </c>
      <c r="L20" s="1">
        <v>1</v>
      </c>
      <c r="M20" s="1"/>
      <c r="N20" s="1" t="str">
        <f>IF($L20&gt;$M20,"O","X")</f>
        <v>O</v>
      </c>
      <c r="O20" s="1"/>
    </row>
    <row r="21" spans="1:15">
      <c r="A21" s="1" t="s">
        <v>28</v>
      </c>
      <c r="B21" s="3" t="s">
        <v>72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34</v>
      </c>
      <c r="I21" s="1">
        <v>1018</v>
      </c>
      <c r="J21" s="1" t="s">
        <v>82</v>
      </c>
      <c r="K21" s="1" t="s">
        <v>18</v>
      </c>
      <c r="L21" s="1">
        <v>3</v>
      </c>
      <c r="M21" s="1"/>
      <c r="N21" s="1" t="str">
        <f>IF($L21&gt;$M21,"O","X")</f>
        <v>O</v>
      </c>
      <c r="O21" s="1"/>
    </row>
    <row r="22" spans="1:15">
      <c r="A22" s="1" t="s">
        <v>44</v>
      </c>
      <c r="B22" s="3" t="s">
        <v>76</v>
      </c>
      <c r="C22" s="1" t="s">
        <v>29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>IF($L22&gt;$M22,"O","X")</f>
        <v>O</v>
      </c>
      <c r="O22" s="1"/>
    </row>
    <row r="23" spans="1:15">
      <c r="A23" s="1" t="s">
        <v>52</v>
      </c>
      <c r="B23" s="3" t="s">
        <v>77</v>
      </c>
      <c r="C23" s="1" t="s">
        <v>29</v>
      </c>
      <c r="D23" s="1" t="s">
        <v>53</v>
      </c>
      <c r="E23" s="1"/>
      <c r="F23" s="1"/>
      <c r="G23" s="1"/>
      <c r="H23" s="1"/>
      <c r="I23" s="1">
        <v>1018</v>
      </c>
      <c r="J23" s="1" t="s">
        <v>15</v>
      </c>
      <c r="K23" s="1" t="s">
        <v>18</v>
      </c>
      <c r="L23" s="1">
        <v>3</v>
      </c>
      <c r="M23" s="1">
        <v>1</v>
      </c>
      <c r="N23" s="1" t="str">
        <f>IF($L23&gt;$M23,"O","X")</f>
        <v>O</v>
      </c>
      <c r="O23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50" stopIfTrue="1">
      <formula>AND(TRIM(G2)="", TRIM(D2)&lt;&gt;"")</formula>
    </cfRule>
  </conditionalFormatting>
  <conditionalFormatting sqref="H2:H1000">
    <cfRule type="expression" dxfId="3" priority="51" stopIfTrue="1">
      <formula>AND(TRIM(H2)="", TRIM(D2)&lt;&gt;"")</formula>
    </cfRule>
  </conditionalFormatting>
  <conditionalFormatting sqref="I2:I1000">
    <cfRule type="expression" dxfId="2" priority="52" stopIfTrue="1">
      <formula>AND(TRIM(I2)="", TRIM(D2)&lt;&gt;"")</formula>
    </cfRule>
  </conditionalFormatting>
  <conditionalFormatting sqref="J2:J1000">
    <cfRule type="expression" dxfId="1" priority="53" stopIfTrue="1">
      <formula>AND(TRIM(J2)="", TRIM(D2)&lt;&gt;"")</formula>
    </cfRule>
  </conditionalFormatting>
  <conditionalFormatting sqref="K2:K1000">
    <cfRule type="expression" dxfId="0" priority="5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OFFSET(index!$A$2, 0, 0, MAX(1, COUNTA(index!$A:$A)-1), 1)</xm:f>
          </x14:formula1>
          <xm:sqref>I2:I1006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69</v>
      </c>
      <c r="B1" s="1"/>
      <c r="C1" s="2" t="s">
        <v>70</v>
      </c>
      <c r="D1" s="1"/>
      <c r="E1" s="2" t="s">
        <v>8</v>
      </c>
      <c r="F1" s="2" t="s">
        <v>9</v>
      </c>
      <c r="G1" s="2" t="s">
        <v>68</v>
      </c>
    </row>
    <row r="2" spans="1:8">
      <c r="A2" s="1">
        <v>309</v>
      </c>
      <c r="B2" s="1"/>
      <c r="C2" s="1" t="s">
        <v>65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88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66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67</v>
      </c>
      <c r="D5" s="1"/>
      <c r="E5" s="1">
        <v>309</v>
      </c>
      <c r="F5" s="1" t="s">
        <v>16</v>
      </c>
      <c r="G5" s="1" t="s">
        <v>81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115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116</v>
      </c>
      <c r="G15" s="1" t="s">
        <v>119</v>
      </c>
      <c r="H15" t="str">
        <f t="shared" si="0"/>
        <v>1001_RT</v>
      </c>
    </row>
    <row r="16" spans="1:8">
      <c r="E16" s="1">
        <v>1001</v>
      </c>
      <c r="F16" s="1" t="s">
        <v>117</v>
      </c>
      <c r="G16" s="1" t="s">
        <v>121</v>
      </c>
      <c r="H16" t="str">
        <f t="shared" si="0"/>
        <v>1001_R</v>
      </c>
    </row>
    <row r="17" spans="5:8">
      <c r="E17" s="1">
        <v>1001</v>
      </c>
      <c r="F17" s="1" t="s">
        <v>118</v>
      </c>
      <c r="G17" s="1" t="s">
        <v>122</v>
      </c>
      <c r="H17" t="str">
        <f t="shared" si="0"/>
        <v>1001_F</v>
      </c>
    </row>
    <row r="18" spans="5:8">
      <c r="E18" s="1">
        <v>1018</v>
      </c>
      <c r="F18" s="1" t="s">
        <v>117</v>
      </c>
      <c r="G18" s="1" t="s">
        <v>121</v>
      </c>
      <c r="H18" t="str">
        <f t="shared" si="0"/>
        <v>1018_R</v>
      </c>
    </row>
    <row r="19" spans="5:8">
      <c r="E19" s="1">
        <v>309</v>
      </c>
      <c r="F19" s="1" t="s">
        <v>117</v>
      </c>
      <c r="G19" s="1" t="s">
        <v>121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ChemicalList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2026-07-28T07:33:14Z</dcterms:modified>
</cp:coreProperties>
</file>