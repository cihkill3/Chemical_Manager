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0" windowWidth="28800" windowHeight="11850" tabRatio="600" firstSheet="0" activeTab="0" autoFilterDateGrouping="1"/>
  </bookViews>
  <sheets>
    <sheet name="ChemicalList" sheetId="1" state="visible" r:id="rId1"/>
    <sheet name="index" sheetId="2" state="visible" r:id="rId2"/>
    <sheet name="DB" sheetId="3" state="visible" r:id="rId3"/>
    <sheet name="Guide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rgb="FFFF660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color rgb="FF0000FF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49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6"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tabSelected="1" zoomScale="70" zoomScaleNormal="70" workbookViewId="0">
      <selection activeCell="O21" sqref="O21"/>
    </sheetView>
  </sheetViews>
  <sheetFormatPr baseColWidth="8" defaultRowHeight="16.5"/>
  <cols>
    <col width="10.625" customWidth="1" style="12" min="1" max="1"/>
    <col width="10.625" customWidth="1" style="26" min="2" max="2"/>
    <col width="10.625" customWidth="1" style="12" min="3" max="3"/>
    <col width="51.25" customWidth="1" style="12" min="4" max="4"/>
    <col width="10.625" customWidth="1" style="12" min="5" max="7"/>
    <col width="10.625" customWidth="1" style="19" min="8" max="8"/>
    <col width="9" customWidth="1" style="1" min="14" max="14"/>
    <col width="32.375" customWidth="1" style="12" min="15" max="15"/>
    <col width="14.625" customWidth="1" style="12" min="16" max="21"/>
  </cols>
  <sheetData>
    <row r="1" ht="39" customHeight="1" s="12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5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  <c r="P1" s="4" t="inlineStr">
        <is>
          <t>Sensitivity</t>
        </is>
      </c>
      <c r="Q1" s="4" t="inlineStr">
        <is>
          <t>Signal Word</t>
        </is>
      </c>
      <c r="R1" s="4" t="inlineStr">
        <is>
          <t>Key Hazards</t>
        </is>
      </c>
      <c r="S1" s="4" t="inlineStr">
        <is>
          <t>Detailed Hazard Classification</t>
        </is>
      </c>
      <c r="T1" s="4" t="inlineStr">
        <is>
          <t>Detail_Link</t>
        </is>
      </c>
      <c r="U1" s="4" t="inlineStr">
        <is>
          <t>SDS_Link</t>
        </is>
      </c>
    </row>
    <row r="2">
      <c r="C2" s="8" t="n"/>
      <c r="D2" s="6">
        <f>IF(OR(E2="", H2=""), "Perfluorooctane", IFERROR(IF(VLOOKUP(E2&amp;"|"&amp;H2&amp;"", DB!$A:$N, 4, FALSE)="","Perfluorooctane",VLOOKUP(E2&amp;"|"&amp;H2&amp;"", DB!$A:$N, 4, FALSE)), "Perfluorooctane"))</f>
        <v/>
      </c>
      <c r="E2" s="8" t="inlineStr">
        <is>
          <t>Aldrich</t>
        </is>
      </c>
      <c r="F2" s="7" t="inlineStr">
        <is>
          <t>100 g</t>
        </is>
      </c>
      <c r="G2" s="28">
        <f>IF(OR(E2="", H2=""), "", IFERROR(VLOOKUP(E2&amp;"|"&amp;H2&amp;"", DB!$A:$N, 5, FALSE), ""))</f>
        <v/>
      </c>
      <c r="H2" s="16" t="inlineStr">
        <is>
          <t>359238</t>
        </is>
      </c>
      <c r="I2" s="1" t="n">
        <v>309</v>
      </c>
      <c r="J2" s="1">
        <f>IF(OR(E2="", H2=""), "", IFERROR(IF(VLOOKUP(E2&amp;"|"&amp;H2&amp;"", DB!$A:$N, 6, FALSE)="","-",VLOOKUP(E2&amp;"|"&amp;H2&amp;"", DB!$A:$N, 6, FALSE)), "-"))</f>
        <v/>
      </c>
      <c r="K2" s="1" t="inlineStr">
        <is>
          <t>Ra1</t>
        </is>
      </c>
      <c r="L2" s="7" t="n">
        <v>1</v>
      </c>
      <c r="N2" s="1">
        <f>IF(TRIM(D2)="", "", IF(N(L2)-N(M2)&lt;=0, "X", N(L2)-N(M2)))</f>
        <v/>
      </c>
      <c r="P2" s="28">
        <f>IF(OR(E2="", H2=""), "", IFERROR(IF(VLOOKUP(E2&amp;"|"&amp;H2&amp;"", DB!$A:$N, 10, FALSE)="","-",VLOOKUP(E2&amp;"|"&amp;H2&amp;"", DB!$A:$N, 10, FALSE)), "-"))</f>
        <v/>
      </c>
      <c r="Q2" s="28">
        <f>IF(OR(E2="", H2=""), "", IFERROR(IF(VLOOKUP(E2&amp;"|"&amp;H2&amp;"", DB!$A:$N, 7, FALSE)="","-",VLOOKUP(E2&amp;"|"&amp;H2&amp;"", DB!$A:$N, 7, FALSE)), "-"))</f>
        <v/>
      </c>
      <c r="R2" s="28">
        <f>IF(OR(E2="", H2=""), "", IFERROR(IF(VLOOKUP(E2&amp;"|"&amp;H2&amp;"", DB!$A:$N, 8, FALSE)="","-",VLOOKUP(E2&amp;"|"&amp;H2&amp;"", DB!$A:$N, 8, FALSE)), "-"))</f>
        <v/>
      </c>
      <c r="S2" s="28">
        <f>IF(OR(E2="", H2=""), "", IFERROR(IF(VLOOKUP(E2&amp;"|"&amp;H2&amp;"", DB!$A:$N, 9, FALSE)="","-",VLOOKUP(E2&amp;"|"&amp;H2&amp;"", DB!$A:$N, 9, FALSE)), "-"))</f>
        <v/>
      </c>
      <c r="T2" s="28">
        <f>IF(OR(E2="", H2=""), "", IFERROR(IF(VLOOKUP(E2&amp;"|"&amp;H2&amp;"", DB!$A:$N, 11, FALSE)="","-",VLOOKUP(E2&amp;"|"&amp;H2&amp;"", DB!$A:$N, 11, FALSE)), "-"))</f>
        <v/>
      </c>
      <c r="U2" s="28">
        <f>IF(OR(E2="", H2=""), "", IFERROR(IF(VLOOKUP(E2&amp;"|"&amp;H2&amp;"", DB!$A:$N, 12, FALSE)="","-",VLOOKUP(E2&amp;"|"&amp;H2&amp;"", DB!$A:$N, 12, FALSE)), "-"))</f>
        <v/>
      </c>
    </row>
    <row r="3">
      <c r="C3" s="8" t="n"/>
      <c r="D3" s="6">
        <f>IF(OR(E3="", H3=""), "(3-Aminopropyl)triethoxysilane", IFERROR(IF(VLOOKUP(E3&amp;"|"&amp;H3&amp;"", DB!$A:$N, 4, FALSE)="","(3-Aminopropyl)triethoxysilane",VLOOKUP(E3&amp;"|"&amp;H3&amp;"", DB!$A:$N, 4, FALSE)), "(3-Aminopropyl)triethoxysilane"))</f>
        <v/>
      </c>
      <c r="E3" s="8" t="inlineStr">
        <is>
          <t>Aldrich</t>
        </is>
      </c>
      <c r="F3" s="7" t="inlineStr">
        <is>
          <t>100 mL</t>
        </is>
      </c>
      <c r="G3" s="28">
        <f>IF(OR(E3="", H3=""), "", IFERROR(VLOOKUP(E3&amp;"|"&amp;H3&amp;"", DB!$A:$N, 5, FALSE), ""))</f>
        <v/>
      </c>
      <c r="H3" s="16" t="inlineStr">
        <is>
          <t>440140</t>
        </is>
      </c>
      <c r="I3" s="1" t="n">
        <v>1018</v>
      </c>
      <c r="J3" s="1">
        <f>IF(OR(E3="", H3=""), "", IFERROR(IF(VLOOKUP(E3&amp;"|"&amp;H3&amp;"", DB!$A:$N, 6, FALSE)="","-",VLOOKUP(E3&amp;"|"&amp;H3&amp;"", DB!$A:$N, 6, FALSE)), "-"))</f>
        <v/>
      </c>
      <c r="K3" s="1" t="inlineStr">
        <is>
          <t>Fa1</t>
        </is>
      </c>
      <c r="L3" s="7" t="n">
        <v>1</v>
      </c>
      <c r="N3" s="1">
        <f>IF(TRIM(D3)="", "", IF(N(L3)-N(M3)&lt;=0, "X", N(L3)-N(M3)))</f>
        <v/>
      </c>
      <c r="P3" s="28">
        <f>IF(OR(E3="", H3=""), "", IFERROR(IF(VLOOKUP(E3&amp;"|"&amp;H3&amp;"", DB!$A:$N, 10, FALSE)="","-",VLOOKUP(E3&amp;"|"&amp;H3&amp;"", DB!$A:$N, 10, FALSE)), "-"))</f>
        <v/>
      </c>
      <c r="Q3" s="20">
        <f>IF(OR(E3="", H3=""), "", IFERROR(IF(VLOOKUP(E3&amp;"|"&amp;H3&amp;"", DB!$A:$N, 7, FALSE)="","-",VLOOKUP(E3&amp;"|"&amp;H3&amp;"", DB!$A:$N, 7, FALSE)), "-"))</f>
        <v/>
      </c>
      <c r="R3" s="15">
        <f>IF(OR(E3="", H3=""), "", IFERROR(IF(VLOOKUP(E3&amp;"|"&amp;H3&amp;"", DB!$A:$N, 8, FALSE)="","-",VLOOKUP(E3&amp;"|"&amp;H3&amp;"", DB!$A:$N, 8, FALSE)), "-"))</f>
        <v/>
      </c>
      <c r="S3" s="28">
        <f>IF(OR(E3="", H3=""), "", IFERROR(IF(VLOOKUP(E3&amp;"|"&amp;H3&amp;"", DB!$A:$N, 9, FALSE)="","-",VLOOKUP(E3&amp;"|"&amp;H3&amp;"", DB!$A:$N, 9, FALSE)), "-"))</f>
        <v/>
      </c>
      <c r="T3" s="28">
        <f>IF(OR(E3="", H3=""), "", IFERROR(IF(VLOOKUP(E3&amp;"|"&amp;H3&amp;"", DB!$A:$N, 11, FALSE)="","-",VLOOKUP(E3&amp;"|"&amp;H3&amp;"", DB!$A:$N, 11, FALSE)), "-"))</f>
        <v/>
      </c>
      <c r="U3" s="28">
        <f>IF(OR(E3="", H3=""), "", IFERROR(IF(VLOOKUP(E3&amp;"|"&amp;H3&amp;"", DB!$A:$N, 12, FALSE)="","-",VLOOKUP(E3&amp;"|"&amp;H3&amp;"", DB!$A:$N, 12, FALSE)), "-"))</f>
        <v/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>
        <f>IF(OR(E4="", H4=""), "", IFERROR(VLOOKUP(E4&amp;"|"&amp;H4&amp;"", DB!$A:$N, 5, FALSE), ""))</f>
        <v/>
      </c>
      <c r="H4" s="3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  <c r="P4" s="28" t="n"/>
      <c r="Q4" s="28" t="n"/>
      <c r="R4" s="28" t="n"/>
      <c r="S4" s="28" t="n"/>
      <c r="T4" s="28" t="n"/>
      <c r="U4" s="28" t="n"/>
    </row>
    <row r="5">
      <c r="A5" s="1" t="n"/>
      <c r="B5" s="3" t="n"/>
      <c r="C5" s="1" t="inlineStr">
        <is>
          <t>윤벼리</t>
        </is>
      </c>
      <c r="D5" s="1">
        <f>IF(OR(E5="", H5=""), "[ab76003] Anti-MMP9 antibody [EP1254]", IFERROR(IF(VLOOKUP(E5&amp;"|"&amp;H5&amp;"", DB!$A:$N, 4, FALSE)="","[ab76003] Anti-MMP9 antibody [EP1254]",VLOOKUP(E5&amp;"|"&amp;H5&amp;"", DB!$A:$N, 4, FALSE)), "[ab76003] Anti-MMP9 antibody [EP1254]"))</f>
        <v/>
      </c>
      <c r="E5" s="1" t="inlineStr">
        <is>
          <t>Aa</t>
        </is>
      </c>
      <c r="F5" s="1" t="n">
        <v>1</v>
      </c>
      <c r="G5" s="28">
        <f>IF(OR(E5="", H5=""), "", IFERROR(VLOOKUP(E5&amp;"|"&amp;H5&amp;"", DB!$A:$N, 5, FALSE), ""))</f>
        <v/>
      </c>
      <c r="H5" s="3" t="inlineStr">
        <is>
          <t>1</t>
        </is>
      </c>
      <c r="I5" s="1" t="n">
        <v>1001</v>
      </c>
      <c r="J5" s="1">
        <f>IF(OR(E5="", H5=""), "", IFERROR(IF(VLOOKUP(E5&amp;"|"&amp;H5&amp;"", DB!$A:$N, 6, FALSE)="","-",VLOOKUP(E5&amp;"|"&amp;H5&amp;"", DB!$A:$N, 6, FALSE)), "-"))</f>
        <v/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  <c r="P5" s="28">
        <f>IF(OR(E5="", H5=""), "", IFERROR(IF(VLOOKUP(E5&amp;"|"&amp;H5&amp;"", DB!$A:$N, 10, FALSE)="","-",VLOOKUP(E5&amp;"|"&amp;H5&amp;"", DB!$A:$N, 10, FALSE)), "-"))</f>
        <v/>
      </c>
      <c r="Q5" s="28">
        <f>IF(OR(E5="", H5=""), "", IFERROR(IF(VLOOKUP(E5&amp;"|"&amp;H5&amp;"", DB!$A:$N, 7, FALSE)="","-",VLOOKUP(E5&amp;"|"&amp;H5&amp;"", DB!$A:$N, 7, FALSE)), "-"))</f>
        <v/>
      </c>
      <c r="R5" s="28">
        <f>IF(OR(E5="", H5=""), "", IFERROR(IF(VLOOKUP(E5&amp;"|"&amp;H5&amp;"", DB!$A:$N, 8, FALSE)="","-",VLOOKUP(E5&amp;"|"&amp;H5&amp;"", DB!$A:$N, 8, FALSE)), "-"))</f>
        <v/>
      </c>
      <c r="S5" s="28">
        <f>IF(OR(E5="", H5=""), "", IFERROR(IF(VLOOKUP(E5&amp;"|"&amp;H5&amp;"", DB!$A:$N, 9, FALSE)="","-",VLOOKUP(E5&amp;"|"&amp;H5&amp;"", DB!$A:$N, 9, FALSE)), "-"))</f>
        <v/>
      </c>
      <c r="T5" s="28">
        <f>IF(OR(E5="", H5=""), "", IFERROR(IF(VLOOKUP(E5&amp;"|"&amp;H5&amp;"", DB!$A:$N, 11, FALSE)="","-",VLOOKUP(E5&amp;"|"&amp;H5&amp;"", DB!$A:$N, 11, FALSE)), "-"))</f>
        <v/>
      </c>
      <c r="U5" s="28">
        <f>IF(OR(E5="", H5=""), "", IFERROR(IF(VLOOKUP(E5&amp;"|"&amp;H5&amp;"", DB!$A:$N, 12, FALSE)="","-",VLOOKUP(E5&amp;"|"&amp;H5&amp;"", DB!$A:$N, 12, FALSE)), "-"))</f>
        <v/>
      </c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>
        <f>IF(OR(E6="", H6=""), "[ab76003] Anti-MMP9 antibody [EP1254]", IFERROR(IF(VLOOKUP(E6&amp;"|"&amp;H6&amp;"", DB!$A:$N, 4, FALSE)="","[ab76003] Anti-MMP9 antibody [EP1254]",VLOOKUP(E6&amp;"|"&amp;H6&amp;"", DB!$A:$N, 4, FALSE)), "[ab76003] Anti-MMP9 antibody [EP1254]"))</f>
        <v/>
      </c>
      <c r="E6" s="1" t="inlineStr">
        <is>
          <t>Aa</t>
        </is>
      </c>
      <c r="F6" s="1" t="n">
        <v>1</v>
      </c>
      <c r="G6" s="1">
        <f>IF(OR(E6="", H6=""), "", IFERROR(VLOOKUP(E6&amp;"|"&amp;H6&amp;"", DB!$A:$N, 5, FALSE), ""))</f>
        <v/>
      </c>
      <c r="H6" s="3" t="inlineStr">
        <is>
          <t>1</t>
        </is>
      </c>
      <c r="I6" s="1" t="n"/>
      <c r="J6" s="1">
        <f>IF(OR(E6="", H6=""), "", IFERROR(IF(VLOOKUP(E6&amp;"|"&amp;H6&amp;"", DB!$A:$N, 6, FALSE)="","-",VLOOKUP(E6&amp;"|"&amp;H6&amp;"", DB!$A:$N, 6, FALSE)), "-"))</f>
        <v/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  <c r="P6" s="28">
        <f>IF(OR(E6="", H6=""), "", IFERROR(IF(VLOOKUP(E6&amp;"|"&amp;H6&amp;"", DB!$A:$N, 10, FALSE)="","-",VLOOKUP(E6&amp;"|"&amp;H6&amp;"", DB!$A:$N, 10, FALSE)), "-"))</f>
        <v/>
      </c>
      <c r="Q6" s="28">
        <f>IF(OR(E6="", H6=""), "", IFERROR(IF(VLOOKUP(E6&amp;"|"&amp;H6&amp;"", DB!$A:$N, 7, FALSE)="","-",VLOOKUP(E6&amp;"|"&amp;H6&amp;"", DB!$A:$N, 7, FALSE)), "-"))</f>
        <v/>
      </c>
      <c r="R6" s="28">
        <f>IF(OR(E6="", H6=""), "", IFERROR(IF(VLOOKUP(E6&amp;"|"&amp;H6&amp;"", DB!$A:$N, 8, FALSE)="","-",VLOOKUP(E6&amp;"|"&amp;H6&amp;"", DB!$A:$N, 8, FALSE)), "-"))</f>
        <v/>
      </c>
      <c r="S6" s="28">
        <f>IF(OR(E6="", H6=""), "", IFERROR(IF(VLOOKUP(E6&amp;"|"&amp;H6&amp;"", DB!$A:$N, 9, FALSE)="","-",VLOOKUP(E6&amp;"|"&amp;H6&amp;"", DB!$A:$N, 9, FALSE)), "-"))</f>
        <v/>
      </c>
      <c r="T6" s="28">
        <f>IF(OR(E6="", H6=""), "", IFERROR(IF(VLOOKUP(E6&amp;"|"&amp;H6&amp;"", DB!$A:$N, 11, FALSE)="","-",VLOOKUP(E6&amp;"|"&amp;H6&amp;"", DB!$A:$N, 11, FALSE)), "-"))</f>
        <v/>
      </c>
      <c r="U6" s="28">
        <f>IF(OR(E6="", H6=""), "", IFERROR(IF(VLOOKUP(E6&amp;"|"&amp;H6&amp;"", DB!$A:$N, 12, FALSE)="","-",VLOOKUP(E6&amp;"|"&amp;H6&amp;"", DB!$A:$N, 12, FALSE)), "-"))</f>
        <v/>
      </c>
    </row>
    <row r="7">
      <c r="A7" s="1" t="n"/>
      <c r="B7" s="3" t="n"/>
      <c r="C7" s="1" t="inlineStr">
        <is>
          <t>초오</t>
        </is>
      </c>
      <c r="D7" s="1">
        <f>IF(OR(E7="", H7=""), "[B7651] Brefeldin A", IFERROR(IF(VLOOKUP(E7&amp;"|"&amp;H7&amp;"", DB!$A:$N, 4, FALSE)="","[B7651] Brefeldin A",VLOOKUP(E7&amp;"|"&amp;H7&amp;"", DB!$A:$N, 4, FALSE)), "[B7651] Brefeldin A"))</f>
        <v/>
      </c>
      <c r="E7" s="1" t="inlineStr">
        <is>
          <t>Fff</t>
        </is>
      </c>
      <c r="F7" s="1" t="inlineStr">
        <is>
          <t>a</t>
        </is>
      </c>
      <c r="G7" s="28">
        <f>IF(OR(E7="", H7=""), "", IFERROR(VLOOKUP(E7&amp;"|"&amp;H7&amp;"", DB!$A:$N, 5, FALSE), ""))</f>
        <v/>
      </c>
      <c r="H7" s="3" t="inlineStr">
        <is>
          <t>2w5w</t>
        </is>
      </c>
      <c r="I7" s="1" t="n">
        <v>1018</v>
      </c>
      <c r="J7" s="1">
        <f>IF(OR(E7="", H7=""), "", IFERROR(IF(VLOOKUP(E7&amp;"|"&amp;H7&amp;"", DB!$A:$N, 6, FALSE)="","-",VLOOKUP(E7&amp;"|"&amp;H7&amp;"", DB!$A:$N, 6, FALSE)), "-"))</f>
        <v/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  <c r="P7" s="28">
        <f>IF(OR(E7="", H7=""), "", IFERROR(IF(VLOOKUP(E7&amp;"|"&amp;H7&amp;"", DB!$A:$N, 10, FALSE)="","-",VLOOKUP(E7&amp;"|"&amp;H7&amp;"", DB!$A:$N, 10, FALSE)), "-"))</f>
        <v/>
      </c>
      <c r="Q7" s="28">
        <f>IF(OR(E7="", H7=""), "", IFERROR(IF(VLOOKUP(E7&amp;"|"&amp;H7&amp;"", DB!$A:$N, 7, FALSE)="","-",VLOOKUP(E7&amp;"|"&amp;H7&amp;"", DB!$A:$N, 7, FALSE)), "-"))</f>
        <v/>
      </c>
      <c r="R7" s="28">
        <f>IF(OR(E7="", H7=""), "", IFERROR(IF(VLOOKUP(E7&amp;"|"&amp;H7&amp;"", DB!$A:$N, 8, FALSE)="","-",VLOOKUP(E7&amp;"|"&amp;H7&amp;"", DB!$A:$N, 8, FALSE)), "-"))</f>
        <v/>
      </c>
      <c r="S7" s="28">
        <f>IF(OR(E7="", H7=""), "", IFERROR(IF(VLOOKUP(E7&amp;"|"&amp;H7&amp;"", DB!$A:$N, 9, FALSE)="","-",VLOOKUP(E7&amp;"|"&amp;H7&amp;"", DB!$A:$N, 9, FALSE)), "-"))</f>
        <v/>
      </c>
      <c r="T7" s="28">
        <f>IF(OR(E7="", H7=""), "", IFERROR(IF(VLOOKUP(E7&amp;"|"&amp;H7&amp;"", DB!$A:$N, 11, FALSE)="","-",VLOOKUP(E7&amp;"|"&amp;H7&amp;"", DB!$A:$N, 11, FALSE)), "-"))</f>
        <v/>
      </c>
      <c r="U7" s="28">
        <f>IF(OR(E7="", H7=""), "", IFERROR(IF(VLOOKUP(E7&amp;"|"&amp;H7&amp;"", DB!$A:$N, 12, FALSE)="","-",VLOOKUP(E7&amp;"|"&amp;H7&amp;"", DB!$A:$N, 12, FALSE)), "-"))</f>
        <v/>
      </c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>
        <f>IF(OR(E8="", H8=""), "[B7651] Brefeldin A", IFERROR(IF(VLOOKUP(E8&amp;"|"&amp;H8&amp;"", DB!$A:$N, 4, FALSE)="","[B7651] Brefeldin A",VLOOKUP(E8&amp;"|"&amp;H8&amp;"", DB!$A:$N, 4, FALSE)), "[B7651] Brefeldin A"))</f>
        <v/>
      </c>
      <c r="E8" s="1" t="inlineStr">
        <is>
          <t>Fff</t>
        </is>
      </c>
      <c r="F8" s="1" t="inlineStr">
        <is>
          <t>a</t>
        </is>
      </c>
      <c r="G8" s="1">
        <f>IF(OR(E8="", H8=""), "", IFERROR(VLOOKUP(E8&amp;"|"&amp;H8&amp;"", DB!$A:$N, 5, FALSE), ""))</f>
        <v/>
      </c>
      <c r="H8" s="3" t="inlineStr">
        <is>
          <t>2w5w</t>
        </is>
      </c>
      <c r="I8" s="1" t="n"/>
      <c r="J8" s="1">
        <f>IF(OR(E8="", H8=""), "", IFERROR(IF(VLOOKUP(E8&amp;"|"&amp;H8&amp;"", DB!$A:$N, 6, FALSE)="","-",VLOOKUP(E8&amp;"|"&amp;H8&amp;"", DB!$A:$N, 6, FALSE)), "-"))</f>
        <v/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  <c r="P8" s="28">
        <f>IF(OR(E8="", H8=""), "", IFERROR(IF(VLOOKUP(E8&amp;"|"&amp;H8&amp;"", DB!$A:$N, 10, FALSE)="","-",VLOOKUP(E8&amp;"|"&amp;H8&amp;"", DB!$A:$N, 10, FALSE)), "-"))</f>
        <v/>
      </c>
      <c r="Q8" s="28">
        <f>IF(OR(E8="", H8=""), "", IFERROR(IF(VLOOKUP(E8&amp;"|"&amp;H8&amp;"", DB!$A:$N, 7, FALSE)="","-",VLOOKUP(E8&amp;"|"&amp;H8&amp;"", DB!$A:$N, 7, FALSE)), "-"))</f>
        <v/>
      </c>
      <c r="R8" s="28">
        <f>IF(OR(E8="", H8=""), "", IFERROR(IF(VLOOKUP(E8&amp;"|"&amp;H8&amp;"", DB!$A:$N, 8, FALSE)="","-",VLOOKUP(E8&amp;"|"&amp;H8&amp;"", DB!$A:$N, 8, FALSE)), "-"))</f>
        <v/>
      </c>
      <c r="S8" s="28">
        <f>IF(OR(E8="", H8=""), "", IFERROR(IF(VLOOKUP(E8&amp;"|"&amp;H8&amp;"", DB!$A:$N, 9, FALSE)="","-",VLOOKUP(E8&amp;"|"&amp;H8&amp;"", DB!$A:$N, 9, FALSE)), "-"))</f>
        <v/>
      </c>
      <c r="T8" s="28">
        <f>IF(OR(E8="", H8=""), "", IFERROR(IF(VLOOKUP(E8&amp;"|"&amp;H8&amp;"", DB!$A:$N, 11, FALSE)="","-",VLOOKUP(E8&amp;"|"&amp;H8&amp;"", DB!$A:$N, 11, FALSE)), "-"))</f>
        <v/>
      </c>
      <c r="U8" s="28">
        <f>IF(OR(E8="", H8=""), "", IFERROR(IF(VLOOKUP(E8&amp;"|"&amp;H8&amp;"", DB!$A:$N, 12, FALSE)="","-",VLOOKUP(E8&amp;"|"&amp;H8&amp;"", DB!$A:$N, 12, FALSE)), "-"))</f>
        <v/>
      </c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>
        <f>IF(OR(E9="", H9=""), "[B7651] Brefeldin A", IFERROR(IF(VLOOKUP(E9&amp;"|"&amp;H9&amp;"", DB!$A:$N, 4, FALSE)="","[B7651] Brefeldin A",VLOOKUP(E9&amp;"|"&amp;H9&amp;"", DB!$A:$N, 4, FALSE)), "[B7651] Brefeldin A"))</f>
        <v/>
      </c>
      <c r="E9" s="1" t="inlineStr">
        <is>
          <t>Fff</t>
        </is>
      </c>
      <c r="F9" s="1" t="inlineStr">
        <is>
          <t>a</t>
        </is>
      </c>
      <c r="G9" s="1">
        <f>IF(OR(E9="", H9=""), "", IFERROR(VLOOKUP(E9&amp;"|"&amp;H9&amp;"", DB!$A:$N, 5, FALSE), ""))</f>
        <v/>
      </c>
      <c r="H9" s="3" t="inlineStr">
        <is>
          <t>2w5w</t>
        </is>
      </c>
      <c r="I9" s="1" t="n">
        <v>1018</v>
      </c>
      <c r="J9" s="1">
        <f>IF(OR(E9="", H9=""), "", IFERROR(IF(VLOOKUP(E9&amp;"|"&amp;H9&amp;"", DB!$A:$N, 6, FALSE)="","-",VLOOKUP(E9&amp;"|"&amp;H9&amp;"", DB!$A:$N, 6, FALSE)), "-"))</f>
        <v/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  <c r="P9" s="28">
        <f>IF(OR(E9="", H9=""), "", IFERROR(IF(VLOOKUP(E9&amp;"|"&amp;H9&amp;"", DB!$A:$N, 10, FALSE)="","-",VLOOKUP(E9&amp;"|"&amp;H9&amp;"", DB!$A:$N, 10, FALSE)), "-"))</f>
        <v/>
      </c>
      <c r="Q9" s="28">
        <f>IF(OR(E9="", H9=""), "", IFERROR(IF(VLOOKUP(E9&amp;"|"&amp;H9&amp;"", DB!$A:$N, 7, FALSE)="","-",VLOOKUP(E9&amp;"|"&amp;H9&amp;"", DB!$A:$N, 7, FALSE)), "-"))</f>
        <v/>
      </c>
      <c r="R9" s="28">
        <f>IF(OR(E9="", H9=""), "", IFERROR(IF(VLOOKUP(E9&amp;"|"&amp;H9&amp;"", DB!$A:$N, 8, FALSE)="","-",VLOOKUP(E9&amp;"|"&amp;H9&amp;"", DB!$A:$N, 8, FALSE)), "-"))</f>
        <v/>
      </c>
      <c r="S9" s="28">
        <f>IF(OR(E9="", H9=""), "", IFERROR(IF(VLOOKUP(E9&amp;"|"&amp;H9&amp;"", DB!$A:$N, 9, FALSE)="","-",VLOOKUP(E9&amp;"|"&amp;H9&amp;"", DB!$A:$N, 9, FALSE)), "-"))</f>
        <v/>
      </c>
      <c r="T9" s="28">
        <f>IF(OR(E9="", H9=""), "", IFERROR(IF(VLOOKUP(E9&amp;"|"&amp;H9&amp;"", DB!$A:$N, 11, FALSE)="","-",VLOOKUP(E9&amp;"|"&amp;H9&amp;"", DB!$A:$N, 11, FALSE)), "-"))</f>
        <v/>
      </c>
      <c r="U9" s="28">
        <f>IF(OR(E9="", H9=""), "", IFERROR(IF(VLOOKUP(E9&amp;"|"&amp;H9&amp;"", DB!$A:$N, 12, FALSE)="","-",VLOOKUP(E9&amp;"|"&amp;H9&amp;"", DB!$A:$N, 12, FALSE)), "-"))</f>
        <v/>
      </c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28">
        <f>IF(OR(E10="", H10=""), "", IFERROR(VLOOKUP(E10&amp;"|"&amp;H10&amp;"", DB!$A:$N, 5, FALSE), ""))</f>
        <v/>
      </c>
      <c r="H10" s="3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  <c r="P10" s="28" t="n"/>
      <c r="Q10" s="28" t="n"/>
      <c r="R10" s="28" t="n"/>
      <c r="S10" s="28" t="n"/>
      <c r="T10" s="28" t="n"/>
      <c r="U10" s="28" t="n"/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>
        <f>IF(OR(E11="", H11=""), "", IFERROR(VLOOKUP(E11&amp;"|"&amp;H11&amp;"", DB!$A:$N, 5, FALSE), ""))</f>
        <v/>
      </c>
      <c r="H11" s="3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  <c r="P11" s="28" t="n"/>
      <c r="Q11" s="28" t="n"/>
      <c r="R11" s="28" t="n"/>
      <c r="S11" s="28" t="n"/>
      <c r="T11" s="28" t="n"/>
      <c r="U11" s="28" t="n"/>
    </row>
    <row r="12">
      <c r="C12" s="8" t="n"/>
      <c r="D12" s="6" t="inlineStr">
        <is>
          <t>0.1 M Disodium hydrogenphos</t>
        </is>
      </c>
      <c r="E12" s="8" t="n"/>
      <c r="F12" s="7" t="n"/>
      <c r="G12" s="28">
        <f>IF(OR(E12="", H12=""), "", IFERROR(VLOOKUP(E12&amp;"|"&amp;H12&amp;"", DB!$A:$N, 5, FALSE), ""))</f>
        <v/>
      </c>
      <c r="H12" s="16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7" t="n">
        <v>1</v>
      </c>
      <c r="N12" s="1">
        <f>IF(TRIM(D12)="", "", IF(N(L12)-N(M12)&lt;=0, "X", N(L12)-N(M12)))</f>
        <v/>
      </c>
      <c r="P12" s="28" t="n"/>
      <c r="Q12" s="28" t="n"/>
      <c r="R12" s="28" t="n"/>
      <c r="S12" s="28" t="n"/>
      <c r="T12" s="28" t="n"/>
      <c r="U12" s="28" t="n"/>
    </row>
    <row r="13">
      <c r="C13" s="8" t="n"/>
      <c r="D13" s="6" t="inlineStr">
        <is>
          <t>0.1 M Sodium phosphate</t>
        </is>
      </c>
      <c r="E13" s="8" t="inlineStr">
        <is>
          <t>Made By Nki</t>
        </is>
      </c>
      <c r="F13" s="7" t="n"/>
      <c r="G13" s="28">
        <f>IF(OR(E13="", H13=""), "", IFERROR(VLOOKUP(E13&amp;"|"&amp;H13&amp;"", DB!$A:$N, 5, FALSE), ""))</f>
        <v/>
      </c>
      <c r="H13" s="16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7" t="n">
        <v>1</v>
      </c>
      <c r="N13" s="1">
        <f>IF(TRIM(D13)="", "", IF(N(L13)-N(M13)&lt;=0, "X", N(L13)-N(M13)))</f>
        <v/>
      </c>
      <c r="P13" s="28" t="n"/>
      <c r="Q13" s="28" t="n"/>
      <c r="R13" s="28" t="n"/>
      <c r="S13" s="28" t="n"/>
      <c r="T13" s="28" t="n"/>
      <c r="U13" s="28" t="n"/>
    </row>
    <row r="14">
      <c r="C14" s="8" t="n"/>
      <c r="D14" s="6">
        <f>IF(OR(E14="", H14=""), "1,1,1,2,3,4,4,5,5,5-Decafluoropentane", IFERROR(IF(VLOOKUP(E14&amp;"|"&amp;H14&amp;"", DB!$A:$N, 4, FALSE)="","1,1,1,2,3,4,4,5,5,5-Decafluoropentane",VLOOKUP(E14&amp;"|"&amp;H14&amp;"", DB!$A:$N, 4, FALSE)), "1,1,1,2,3,4,4,5,5,5-Decafluoropentane"))</f>
        <v/>
      </c>
      <c r="E14" s="8" t="inlineStr">
        <is>
          <t>Aldrich</t>
        </is>
      </c>
      <c r="F14" s="7" t="inlineStr">
        <is>
          <t>100 mL</t>
        </is>
      </c>
      <c r="G14" s="28">
        <f>IF(OR(E14="", H14=""), "", IFERROR(VLOOKUP(E14&amp;"|"&amp;H14&amp;"", DB!$A:$N, 5, FALSE), ""))</f>
        <v/>
      </c>
      <c r="H14" s="16" t="inlineStr">
        <is>
          <t>94884</t>
        </is>
      </c>
      <c r="I14" s="1" t="n">
        <v>309</v>
      </c>
      <c r="J14" s="1">
        <f>IF(OR(E14="", H14=""), "", IFERROR(IF(VLOOKUP(E14&amp;"|"&amp;H14&amp;"", DB!$A:$N, 6, FALSE)="","-",VLOOKUP(E14&amp;"|"&amp;H14&amp;"", DB!$A:$N, 6, FALSE)), "-"))</f>
        <v/>
      </c>
      <c r="K14" s="1" t="inlineStr">
        <is>
          <t>Da1</t>
        </is>
      </c>
      <c r="L14" s="7" t="n">
        <v>1</v>
      </c>
      <c r="N14" s="1">
        <f>IF(TRIM(D14)="", "", IF(N(L14)-N(M14)&lt;=0, "X", N(L14)-N(M14)))</f>
        <v/>
      </c>
      <c r="P14" s="28">
        <f>IF(OR(E14="", H14=""), "", IFERROR(IF(VLOOKUP(E14&amp;"|"&amp;H14&amp;"", DB!$A:$N, 10, FALSE)="","-",VLOOKUP(E14&amp;"|"&amp;H14&amp;"", DB!$A:$N, 10, FALSE)), "-"))</f>
        <v/>
      </c>
      <c r="Q14" s="28">
        <f>IF(OR(E14="", H14=""), "", IFERROR(IF(VLOOKUP(E14&amp;"|"&amp;H14&amp;"", DB!$A:$N, 7, FALSE)="","-",VLOOKUP(E14&amp;"|"&amp;H14&amp;"", DB!$A:$N, 7, FALSE)), "-"))</f>
        <v/>
      </c>
      <c r="R14" s="28">
        <f>IF(OR(E14="", H14=""), "", IFERROR(IF(VLOOKUP(E14&amp;"|"&amp;H14&amp;"", DB!$A:$N, 8, FALSE)="","-",VLOOKUP(E14&amp;"|"&amp;H14&amp;"", DB!$A:$N, 8, FALSE)), "-"))</f>
        <v/>
      </c>
      <c r="S14" s="28">
        <f>IF(OR(E14="", H14=""), "", IFERROR(IF(VLOOKUP(E14&amp;"|"&amp;H14&amp;"", DB!$A:$N, 9, FALSE)="","-",VLOOKUP(E14&amp;"|"&amp;H14&amp;"", DB!$A:$N, 9, FALSE)), "-"))</f>
        <v/>
      </c>
      <c r="T14" s="28">
        <f>IF(OR(E14="", H14=""), "", IFERROR(IF(VLOOKUP(E14&amp;"|"&amp;H14&amp;"", DB!$A:$N, 11, FALSE)="","-",VLOOKUP(E14&amp;"|"&amp;H14&amp;"", DB!$A:$N, 11, FALSE)), "-"))</f>
        <v/>
      </c>
      <c r="U14" s="28">
        <f>IF(OR(E14="", H14=""), "", IFERROR(IF(VLOOKUP(E14&amp;"|"&amp;H14&amp;"", DB!$A:$N, 12, FALSE)="","-",VLOOKUP(E14&amp;"|"&amp;H14&amp;"", DB!$A:$N, 12, FALSE)), "-"))</f>
        <v/>
      </c>
    </row>
    <row r="15">
      <c r="C15" s="8" t="n"/>
      <c r="D15" s="6">
        <f>IF(OR(E15="", H15=""), "1,10-Phenanthroline", IFERROR(IF(VLOOKUP(E15&amp;"|"&amp;H15&amp;"", DB!$A:$N, 4, FALSE)="","1,10-Phenanthroline",VLOOKUP(E15&amp;"|"&amp;H15&amp;"", DB!$A:$N, 4, FALSE)), "1,10-Phenanthroline"))</f>
        <v/>
      </c>
      <c r="E15" s="8" t="inlineStr">
        <is>
          <t>Aldrich</t>
        </is>
      </c>
      <c r="F15" s="7" t="inlineStr">
        <is>
          <t>5 g</t>
        </is>
      </c>
      <c r="G15" s="28">
        <f>IF(OR(E15="", H15=""), "", IFERROR(VLOOKUP(E15&amp;"|"&amp;H15&amp;"", DB!$A:$N, 5, FALSE), ""))</f>
        <v/>
      </c>
      <c r="H15" s="16" t="inlineStr">
        <is>
          <t>131377</t>
        </is>
      </c>
      <c r="I15" s="1" t="n">
        <v>1018</v>
      </c>
      <c r="J15" s="1">
        <f>IF(OR(E15="", H15=""), "", IFERROR(IF(VLOOKUP(E15&amp;"|"&amp;H15&amp;"", DB!$A:$N, 6, FALSE)="","-",VLOOKUP(E15&amp;"|"&amp;H15&amp;"", DB!$A:$N, 6, FALSE)), "-"))</f>
        <v/>
      </c>
      <c r="K15" s="1" t="inlineStr">
        <is>
          <t>Db2</t>
        </is>
      </c>
      <c r="L15" s="7" t="n">
        <v>1</v>
      </c>
      <c r="N15" s="1">
        <f>IF(TRIM(D15)="", "", IF(N(L15)-N(M15)&lt;=0, "X", N(L15)-N(M15)))</f>
        <v/>
      </c>
      <c r="P15" s="28">
        <f>IF(OR(E15="", H15=""), "", IFERROR(IF(VLOOKUP(E15&amp;"|"&amp;H15&amp;"", DB!$A:$N, 10, FALSE)="","-",VLOOKUP(E15&amp;"|"&amp;H15&amp;"", DB!$A:$N, 10, FALSE)), "-"))</f>
        <v/>
      </c>
      <c r="Q15" s="28">
        <f>IF(OR(E15="", H15=""), "", IFERROR(IF(VLOOKUP(E15&amp;"|"&amp;H15&amp;"", DB!$A:$N, 7, FALSE)="","-",VLOOKUP(E15&amp;"|"&amp;H15&amp;"", DB!$A:$N, 7, FALSE)), "-"))</f>
        <v/>
      </c>
      <c r="R15" s="22">
        <f>IF(OR(E15="", H15=""), "", IFERROR(IF(VLOOKUP(E15&amp;"|"&amp;H15&amp;"", DB!$A:$N, 8, FALSE)="","-",VLOOKUP(E15&amp;"|"&amp;H15&amp;"", DB!$A:$N, 8, FALSE)), "-"))</f>
        <v/>
      </c>
      <c r="S15" s="28">
        <f>IF(OR(E15="", H15=""), "", IFERROR(IF(VLOOKUP(E15&amp;"|"&amp;H15&amp;"", DB!$A:$N, 9, FALSE)="","-",VLOOKUP(E15&amp;"|"&amp;H15&amp;"", DB!$A:$N, 9, FALSE)), "-"))</f>
        <v/>
      </c>
      <c r="T15" s="28">
        <f>IF(OR(E15="", H15=""), "", IFERROR(IF(VLOOKUP(E15&amp;"|"&amp;H15&amp;"", DB!$A:$N, 11, FALSE)="","-",VLOOKUP(E15&amp;"|"&amp;H15&amp;"", DB!$A:$N, 11, FALSE)), "-"))</f>
        <v/>
      </c>
      <c r="U15" s="28">
        <f>IF(OR(E15="", H15=""), "", IFERROR(IF(VLOOKUP(E15&amp;"|"&amp;H15&amp;"", DB!$A:$N, 12, FALSE)="","-",VLOOKUP(E15&amp;"|"&amp;H15&amp;"", DB!$A:$N, 12, FALSE)), "-"))</f>
        <v/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>
        <f>IF(OR(E16="", H16=""), "", IFERROR(VLOOKUP(E16&amp;"|"&amp;H16&amp;"", DB!$A:$N, 5, FALSE), ""))</f>
        <v/>
      </c>
      <c r="H16" s="3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  <c r="P16" s="28" t="n"/>
      <c r="Q16" s="28" t="n"/>
      <c r="R16" s="28" t="n"/>
      <c r="S16" s="28" t="n"/>
      <c r="T16" s="28" t="n"/>
      <c r="U16" s="28" t="n"/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28">
        <f>IF(OR(E17="", H17=""), "", IFERROR(VLOOKUP(E17&amp;"|"&amp;H17&amp;"", DB!$A:$N, 5, FALSE), ""))</f>
        <v/>
      </c>
      <c r="H17" s="3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  <c r="P17" s="28" t="n"/>
      <c r="Q17" s="28" t="n"/>
      <c r="R17" s="28" t="n"/>
      <c r="S17" s="28" t="n"/>
      <c r="T17" s="28" t="n"/>
      <c r="U17" s="28" t="n"/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>
        <f>IF(OR(E18="", H18=""), "", IFERROR(VLOOKUP(E18&amp;"|"&amp;H18&amp;"", DB!$A:$N, 5, FALSE), ""))</f>
        <v/>
      </c>
      <c r="H18" s="3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  <c r="P18" s="28" t="n"/>
      <c r="Q18" s="28" t="n"/>
      <c r="R18" s="28" t="n"/>
      <c r="S18" s="28" t="n"/>
      <c r="T18" s="28" t="n"/>
      <c r="U18" s="28" t="n"/>
    </row>
    <row r="19">
      <c r="A19" s="1" t="n"/>
      <c r="B19" s="3" t="n"/>
      <c r="C19" s="1" t="inlineStr">
        <is>
          <t>이지</t>
        </is>
      </c>
      <c r="D19" s="1">
        <f>IF(OR(E19="", H19=""), "anti-mouse CD31 (PECAM-1) 100ug", IFERROR(IF(VLOOKUP(E19&amp;"|"&amp;H19&amp;"", DB!$A:$N, 4, FALSE)="","anti-mouse CD31 (PECAM-1) 100ug",VLOOKUP(E19&amp;"|"&amp;H19&amp;"", DB!$A:$N, 4, FALSE)), "anti-mouse CD31 (PECAM-1) 100ug"))</f>
        <v/>
      </c>
      <c r="E19" s="1" t="inlineStr">
        <is>
          <t>Aldrich</t>
        </is>
      </c>
      <c r="F19" s="1" t="inlineStr">
        <is>
          <t>13g</t>
        </is>
      </c>
      <c r="G19" s="28">
        <f>IF(OR(E19="", H19=""), "", IFERROR(VLOOKUP(E19&amp;"|"&amp;H19&amp;"", DB!$A:$N, 5, FALSE), ""))</f>
        <v/>
      </c>
      <c r="H19" s="3" t="inlineStr">
        <is>
          <t>3we3</t>
        </is>
      </c>
      <c r="I19" s="1" t="n">
        <v>309</v>
      </c>
      <c r="J19" s="1">
        <f>IF(OR(E19="", H19=""), "", IFERROR(IF(VLOOKUP(E19&amp;"|"&amp;H19&amp;"", DB!$A:$N, 6, FALSE)="","-",VLOOKUP(E19&amp;"|"&amp;H19&amp;"", DB!$A:$N, 6, FALSE)), "-"))</f>
        <v/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  <c r="P19" s="28">
        <f>IF(OR(E19="", H19=""), "", IFERROR(IF(VLOOKUP(E19&amp;"|"&amp;H19&amp;"", DB!$A:$N, 10, FALSE)="","-",VLOOKUP(E19&amp;"|"&amp;H19&amp;"", DB!$A:$N, 10, FALSE)), "-"))</f>
        <v/>
      </c>
      <c r="Q19" s="28">
        <f>IF(OR(E19="", H19=""), "", IFERROR(IF(VLOOKUP(E19&amp;"|"&amp;H19&amp;"", DB!$A:$N, 7, FALSE)="","-",VLOOKUP(E19&amp;"|"&amp;H19&amp;"", DB!$A:$N, 7, FALSE)), "-"))</f>
        <v/>
      </c>
      <c r="R19" s="28">
        <f>IF(OR(E19="", H19=""), "", IFERROR(IF(VLOOKUP(E19&amp;"|"&amp;H19&amp;"", DB!$A:$N, 8, FALSE)="","-",VLOOKUP(E19&amp;"|"&amp;H19&amp;"", DB!$A:$N, 8, FALSE)), "-"))</f>
        <v/>
      </c>
      <c r="S19" s="28">
        <f>IF(OR(E19="", H19=""), "", IFERROR(IF(VLOOKUP(E19&amp;"|"&amp;H19&amp;"", DB!$A:$N, 9, FALSE)="","-",VLOOKUP(E19&amp;"|"&amp;H19&amp;"", DB!$A:$N, 9, FALSE)), "-"))</f>
        <v/>
      </c>
      <c r="T19" s="28">
        <f>IF(OR(E19="", H19=""), "", IFERROR(IF(VLOOKUP(E19&amp;"|"&amp;H19&amp;"", DB!$A:$N, 11, FALSE)="","-",VLOOKUP(E19&amp;"|"&amp;H19&amp;"", DB!$A:$N, 11, FALSE)), "-"))</f>
        <v/>
      </c>
      <c r="U19" s="28">
        <f>IF(OR(E19="", H19=""), "", IFERROR(IF(VLOOKUP(E19&amp;"|"&amp;H19&amp;"", DB!$A:$N, 12, FALSE)="","-",VLOOKUP(E19&amp;"|"&amp;H19&amp;"", DB!$A:$N, 12, FALSE)), "-"))</f>
        <v/>
      </c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>
        <f>IF(OR(E20="", H20=""), "anti-mouse CD31 (PECAM-1) 100ug", IFERROR(IF(VLOOKUP(E20&amp;"|"&amp;H20&amp;"", DB!$A:$N, 4, FALSE)="","anti-mouse CD31 (PECAM-1) 100ug",VLOOKUP(E20&amp;"|"&amp;H20&amp;"", DB!$A:$N, 4, FALSE)), "anti-mouse CD31 (PECAM-1) 100ug"))</f>
        <v/>
      </c>
      <c r="E20" s="1" t="inlineStr">
        <is>
          <t>Aldrich</t>
        </is>
      </c>
      <c r="F20" s="1" t="inlineStr">
        <is>
          <t>13g</t>
        </is>
      </c>
      <c r="G20" s="1">
        <f>IF(OR(E20="", H20=""), "", IFERROR(VLOOKUP(E20&amp;"|"&amp;H20&amp;"", DB!$A:$N, 5, FALSE), ""))</f>
        <v/>
      </c>
      <c r="H20" s="3" t="inlineStr">
        <is>
          <t>3we3</t>
        </is>
      </c>
      <c r="I20" s="1" t="n">
        <v>309</v>
      </c>
      <c r="J20" s="1">
        <f>IF(OR(E20="", H20=""), "", IFERROR(IF(VLOOKUP(E20&amp;"|"&amp;H20&amp;"", DB!$A:$N, 6, FALSE)="","-",VLOOKUP(E20&amp;"|"&amp;H20&amp;"", DB!$A:$N, 6, FALSE)), "-"))</f>
        <v/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  <c r="P20" s="28">
        <f>IF(OR(E20="", H20=""), "", IFERROR(IF(VLOOKUP(E20&amp;"|"&amp;H20&amp;"", DB!$A:$N, 10, FALSE)="","-",VLOOKUP(E20&amp;"|"&amp;H20&amp;"", DB!$A:$N, 10, FALSE)), "-"))</f>
        <v/>
      </c>
      <c r="Q20" s="28">
        <f>IF(OR(E20="", H20=""), "", IFERROR(IF(VLOOKUP(E20&amp;"|"&amp;H20&amp;"", DB!$A:$N, 7, FALSE)="","-",VLOOKUP(E20&amp;"|"&amp;H20&amp;"", DB!$A:$N, 7, FALSE)), "-"))</f>
        <v/>
      </c>
      <c r="R20" s="28">
        <f>IF(OR(E20="", H20=""), "", IFERROR(IF(VLOOKUP(E20&amp;"|"&amp;H20&amp;"", DB!$A:$N, 8, FALSE)="","-",VLOOKUP(E20&amp;"|"&amp;H20&amp;"", DB!$A:$N, 8, FALSE)), "-"))</f>
        <v/>
      </c>
      <c r="S20" s="28">
        <f>IF(OR(E20="", H20=""), "", IFERROR(IF(VLOOKUP(E20&amp;"|"&amp;H20&amp;"", DB!$A:$N, 9, FALSE)="","-",VLOOKUP(E20&amp;"|"&amp;H20&amp;"", DB!$A:$N, 9, FALSE)), "-"))</f>
        <v/>
      </c>
      <c r="T20" s="28">
        <f>IF(OR(E20="", H20=""), "", IFERROR(IF(VLOOKUP(E20&amp;"|"&amp;H20&amp;"", DB!$A:$N, 11, FALSE)="","-",VLOOKUP(E20&amp;"|"&amp;H20&amp;"", DB!$A:$N, 11, FALSE)), "-"))</f>
        <v/>
      </c>
      <c r="U20" s="28">
        <f>IF(OR(E20="", H20=""), "", IFERROR(IF(VLOOKUP(E20&amp;"|"&amp;H20&amp;"", DB!$A:$N, 12, FALSE)="","-",VLOOKUP(E20&amp;"|"&amp;H20&amp;"", DB!$A:$N, 12, FALSE)), "-"))</f>
        <v/>
      </c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28">
        <f>IF(OR(E21="", H21=""), "", IFERROR(VLOOKUP(E21&amp;"|"&amp;H21&amp;"", DB!$A:$N, 5, FALSE), ""))</f>
        <v/>
      </c>
      <c r="H21" s="3" t="n"/>
      <c r="I21" s="1" t="n">
        <v>1018</v>
      </c>
      <c r="J21" s="1" t="inlineStr">
        <is>
          <t>R</t>
        </is>
      </c>
      <c r="K21" s="1" t="n"/>
      <c r="L21" s="1" t="n"/>
      <c r="M21" s="1" t="n"/>
      <c r="N21" s="1">
        <f>IF(TRIM(D21)="", "", IF(N(L21)-N(M21)&lt;=0, "X", N(L21)-N(M21)))</f>
        <v/>
      </c>
      <c r="O21" s="1" t="n"/>
      <c r="P21" s="28" t="n"/>
      <c r="Q21" s="28" t="n"/>
      <c r="R21" s="28" t="n"/>
      <c r="S21" s="28" t="n"/>
      <c r="T21" s="28" t="n"/>
      <c r="U21" s="28" t="n"/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28">
        <f>IF(OR(E22="", H22=""), "", IFERROR(VLOOKUP(E22&amp;"|"&amp;H22&amp;"", DB!$A:$N, 5, FALSE), ""))</f>
        <v/>
      </c>
      <c r="H22" s="3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  <c r="P22" s="28" t="n"/>
      <c r="Q22" s="28" t="n"/>
      <c r="R22" s="28" t="n"/>
      <c r="S22" s="28" t="n"/>
      <c r="T22" s="28" t="n"/>
      <c r="U22" s="28" t="n"/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>
        <f>IF(OR(E23="", H23=""), "", IFERROR(VLOOKUP(E23&amp;"|"&amp;H23&amp;"", DB!$A:$N, 5, FALSE), ""))</f>
        <v/>
      </c>
      <c r="H23" s="3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  <c r="P23" s="28" t="n"/>
      <c r="Q23" s="28" t="n"/>
      <c r="R23" s="28" t="n"/>
      <c r="S23" s="28" t="n"/>
      <c r="T23" s="28" t="n"/>
      <c r="U23" s="28" t="n"/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>
        <f>IF(OR(E24="", H24=""), "", IFERROR(VLOOKUP(E24&amp;"|"&amp;H24&amp;"", DB!$A:$N, 5, FALSE), ""))</f>
        <v/>
      </c>
      <c r="H24" s="3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  <c r="P24" s="28" t="n"/>
      <c r="Q24" s="28" t="n"/>
      <c r="R24" s="28" t="n"/>
      <c r="S24" s="28" t="n"/>
      <c r="T24" s="28" t="n"/>
      <c r="U24" s="28" t="n"/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28">
        <f>IF(OR(E25="", H25=""), "", IFERROR(VLOOKUP(E25&amp;"|"&amp;H25&amp;"", DB!$A:$N, 5, FALSE), ""))</f>
        <v/>
      </c>
      <c r="H25" s="3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  <c r="P25" s="28" t="n"/>
      <c r="Q25" s="28" t="n"/>
      <c r="R25" s="28" t="n"/>
      <c r="S25" s="28" t="n"/>
      <c r="T25" s="28" t="n"/>
      <c r="U25" s="28" t="n"/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>
        <f>IF(OR(E26="", H26=""), "", IFERROR(VLOOKUP(E26&amp;"|"&amp;H26&amp;"", DB!$A:$N, 5, FALSE), ""))</f>
        <v/>
      </c>
      <c r="H26" s="3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  <c r="P26" s="28" t="n"/>
      <c r="Q26" s="28" t="n"/>
      <c r="R26" s="28" t="n"/>
      <c r="S26" s="28" t="n"/>
      <c r="T26" s="28" t="n"/>
      <c r="U26" s="28" t="n"/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>
        <f>IF(OR(E27="", H27=""), "", IFERROR(VLOOKUP(E27&amp;"|"&amp;H27&amp;"", DB!$A:$N, 5, FALSE), ""))</f>
        <v/>
      </c>
      <c r="H27" s="3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  <c r="P27" s="28" t="n"/>
      <c r="Q27" s="28" t="n"/>
      <c r="R27" s="28" t="n"/>
      <c r="S27" s="28" t="n"/>
      <c r="T27" s="28" t="n"/>
      <c r="U27" s="28" t="n"/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28">
        <f>IF(OR(E28="", H28=""), "", IFERROR(VLOOKUP(E28&amp;"|"&amp;H28&amp;"", DB!$A:$N, 5, FALSE), ""))</f>
        <v/>
      </c>
      <c r="H28" s="3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  <c r="P28" s="28" t="n"/>
      <c r="Q28" s="28" t="n"/>
      <c r="R28" s="28" t="n"/>
      <c r="S28" s="28" t="n"/>
      <c r="T28" s="28" t="n"/>
      <c r="U28" s="28" t="n"/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>
        <f>IF(OR(E29="", H29=""), "", IFERROR(VLOOKUP(E29&amp;"|"&amp;H29&amp;"", DB!$A:$N, 5, FALSE), ""))</f>
        <v/>
      </c>
      <c r="H29" s="3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  <c r="P29" s="28" t="n"/>
      <c r="Q29" s="28" t="n"/>
      <c r="R29" s="28" t="n"/>
      <c r="S29" s="28" t="n"/>
      <c r="T29" s="28" t="n"/>
      <c r="U29" s="28" t="n"/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28">
        <f>IF(OR(E30="", H30=""), "", IFERROR(VLOOKUP(E30&amp;"|"&amp;H30&amp;"", DB!$A:$N, 5, FALSE), ""))</f>
        <v/>
      </c>
      <c r="H30" s="3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  <c r="P30" s="28" t="n"/>
      <c r="Q30" s="28" t="n"/>
      <c r="R30" s="28" t="n"/>
      <c r="S30" s="28" t="n"/>
      <c r="T30" s="28" t="n"/>
      <c r="U30" s="28" t="n"/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>
        <f>IF(OR(E31="", H31=""), "", IFERROR(VLOOKUP(E31&amp;"|"&amp;H31&amp;"", DB!$A:$N, 5, FALSE), ""))</f>
        <v/>
      </c>
      <c r="H31" s="3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  <c r="P31" s="28" t="n"/>
      <c r="Q31" s="28" t="n"/>
      <c r="R31" s="28" t="n"/>
      <c r="S31" s="28" t="n"/>
      <c r="T31" s="28" t="n"/>
      <c r="U31" s="28" t="n"/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28">
        <f>IF(OR(E32="", H32=""), "", IFERROR(VLOOKUP(E32&amp;"|"&amp;H32&amp;"", DB!$A:$N, 5, FALSE), ""))</f>
        <v/>
      </c>
      <c r="H32" s="3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  <c r="P32" s="28" t="n"/>
      <c r="Q32" s="28" t="n"/>
      <c r="R32" s="28" t="n"/>
      <c r="S32" s="28" t="n"/>
      <c r="T32" s="28" t="n"/>
      <c r="U32" s="28" t="n"/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>
        <f>IF(OR(E33="", H33=""), "", IFERROR(VLOOKUP(E33&amp;"|"&amp;H33&amp;"", DB!$A:$N, 5, FALSE), ""))</f>
        <v/>
      </c>
      <c r="H33" s="3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  <c r="P33" s="28" t="n"/>
      <c r="Q33" s="28" t="n"/>
      <c r="R33" s="28" t="n"/>
      <c r="S33" s="28" t="n"/>
      <c r="T33" s="28" t="n"/>
      <c r="U33" s="28" t="n"/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28">
        <f>IF(OR(E34="", H34=""), "", IFERROR(VLOOKUP(E34&amp;"|"&amp;H34&amp;"", DB!$A:$N, 5, FALSE), ""))</f>
        <v/>
      </c>
      <c r="H34" s="3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  <c r="P34" s="28" t="n"/>
      <c r="Q34" s="28" t="n"/>
      <c r="R34" s="28" t="n"/>
      <c r="S34" s="28" t="n"/>
      <c r="T34" s="28" t="n"/>
      <c r="U34" s="28" t="n"/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>
        <f>IF(OR(E35="", H35=""), "", IFERROR(VLOOKUP(E35&amp;"|"&amp;H35&amp;"", DB!$A:$N, 5, FALSE), ""))</f>
        <v/>
      </c>
      <c r="H35" s="3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  <c r="P35" s="28" t="n"/>
      <c r="Q35" s="28" t="n"/>
      <c r="R35" s="28" t="n"/>
      <c r="S35" s="28" t="n"/>
      <c r="T35" s="28" t="n"/>
      <c r="U35" s="28" t="n"/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>
        <f>IF(OR(E36="", H36=""), "", IFERROR(VLOOKUP(E36&amp;"|"&amp;H36&amp;"", DB!$A:$N, 5, FALSE), ""))</f>
        <v/>
      </c>
      <c r="H36" s="3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  <c r="P36" s="28" t="n"/>
      <c r="Q36" s="28" t="n"/>
      <c r="R36" s="28" t="n"/>
      <c r="S36" s="28" t="n"/>
      <c r="T36" s="28" t="n"/>
      <c r="U36" s="28" t="n"/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>
        <f>IF(OR(E37="", H37=""), "anti-mouse CD31 (PECAM-1) 100ug", IFERROR(IF(VLOOKUP(E37&amp;"|"&amp;H37&amp;"", DB!$A:$N, 4, FALSE)="","anti-mouse CD31 (PECAM-1) 100ug",VLOOKUP(E37&amp;"|"&amp;H37&amp;"", DB!$A:$N, 4, FALSE)), "anti-mouse CD31 (PECAM-1) 100ug"))</f>
        <v/>
      </c>
      <c r="E37" s="1" t="inlineStr">
        <is>
          <t>Aldrich</t>
        </is>
      </c>
      <c r="F37" s="1" t="inlineStr">
        <is>
          <t>12g</t>
        </is>
      </c>
      <c r="G37" s="1">
        <f>IF(OR(E37="", H37=""), "", IFERROR(VLOOKUP(E37&amp;"|"&amp;H37&amp;"", DB!$A:$N, 5, FALSE), ""))</f>
        <v/>
      </c>
      <c r="H37" s="3" t="inlineStr">
        <is>
          <t>3we3</t>
        </is>
      </c>
      <c r="I37" s="1" t="n">
        <v>1018</v>
      </c>
      <c r="J37" s="1">
        <f>IF(OR(E37="", H37=""), "", IFERROR(IF(VLOOKUP(E37&amp;"|"&amp;H37&amp;"", DB!$A:$N, 6, FALSE)="","-",VLOOKUP(E37&amp;"|"&amp;H37&amp;"", DB!$A:$N, 6, FALSE)), "-"))</f>
        <v/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  <c r="P37" s="28">
        <f>IF(OR(E37="", H37=""), "", IFERROR(IF(VLOOKUP(E37&amp;"|"&amp;H37&amp;"", DB!$A:$N, 10, FALSE)="","-",VLOOKUP(E37&amp;"|"&amp;H37&amp;"", DB!$A:$N, 10, FALSE)), "-"))</f>
        <v/>
      </c>
      <c r="Q37" s="28">
        <f>IF(OR(E37="", H37=""), "", IFERROR(IF(VLOOKUP(E37&amp;"|"&amp;H37&amp;"", DB!$A:$N, 7, FALSE)="","-",VLOOKUP(E37&amp;"|"&amp;H37&amp;"", DB!$A:$N, 7, FALSE)), "-"))</f>
        <v/>
      </c>
      <c r="R37" s="28">
        <f>IF(OR(E37="", H37=""), "", IFERROR(IF(VLOOKUP(E37&amp;"|"&amp;H37&amp;"", DB!$A:$N, 8, FALSE)="","-",VLOOKUP(E37&amp;"|"&amp;H37&amp;"", DB!$A:$N, 8, FALSE)), "-"))</f>
        <v/>
      </c>
      <c r="S37" s="28">
        <f>IF(OR(E37="", H37=""), "", IFERROR(IF(VLOOKUP(E37&amp;"|"&amp;H37&amp;"", DB!$A:$N, 9, FALSE)="","-",VLOOKUP(E37&amp;"|"&amp;H37&amp;"", DB!$A:$N, 9, FALSE)), "-"))</f>
        <v/>
      </c>
      <c r="T37" s="28">
        <f>IF(OR(E37="", H37=""), "", IFERROR(IF(VLOOKUP(E37&amp;"|"&amp;H37&amp;"", DB!$A:$N, 11, FALSE)="","-",VLOOKUP(E37&amp;"|"&amp;H37&amp;"", DB!$A:$N, 11, FALSE)), "-"))</f>
        <v/>
      </c>
      <c r="U37" s="28">
        <f>IF(OR(E37="", H37=""), "", IFERROR(IF(VLOOKUP(E37&amp;"|"&amp;H37&amp;"", DB!$A:$N, 12, FALSE)="","-",VLOOKUP(E37&amp;"|"&amp;H37&amp;"", DB!$A:$N, 12, FALSE)), "-"))</f>
        <v/>
      </c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>
        <f>IF(OR(E38="", H38=""), "", IFERROR(VLOOKUP(E38&amp;"|"&amp;H38&amp;"", DB!$A:$N, 5, FALSE), ""))</f>
        <v/>
      </c>
      <c r="H38" s="3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  <c r="P38" s="28" t="n"/>
      <c r="Q38" s="28" t="n"/>
      <c r="R38" s="28" t="n"/>
      <c r="S38" s="28" t="n"/>
      <c r="T38" s="28" t="n"/>
      <c r="U38" s="28" t="n"/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28">
        <f>IF(OR(E39="", H39=""), "", IFERROR(VLOOKUP(E39&amp;"|"&amp;H39&amp;"", DB!$A:$N, 5, FALSE), ""))</f>
        <v/>
      </c>
      <c r="H39" s="3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  <c r="P39" s="28" t="n"/>
      <c r="Q39" s="28" t="n"/>
      <c r="R39" s="28" t="n"/>
      <c r="S39" s="28" t="n"/>
      <c r="T39" s="28" t="n"/>
      <c r="U39" s="28" t="n"/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>
        <f>IF(OR(E40="", H40=""), "", IFERROR(VLOOKUP(E40&amp;"|"&amp;H40&amp;"", DB!$A:$N, 5, FALSE), ""))</f>
        <v/>
      </c>
      <c r="H40" s="3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  <c r="P40" s="28" t="n"/>
      <c r="Q40" s="28" t="n"/>
      <c r="R40" s="28" t="n"/>
      <c r="S40" s="28" t="n"/>
      <c r="T40" s="28" t="n"/>
      <c r="U40" s="28" t="n"/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>
        <f>IF(OR(E41="", H41=""), "", IFERROR(VLOOKUP(E41&amp;"|"&amp;H41&amp;"", DB!$A:$N, 5, FALSE), ""))</f>
        <v/>
      </c>
      <c r="H41" s="3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  <c r="P41" s="28" t="n"/>
      <c r="Q41" s="28" t="n"/>
      <c r="R41" s="28" t="n"/>
      <c r="S41" s="28" t="n"/>
      <c r="T41" s="28" t="n"/>
      <c r="U41" s="28" t="n"/>
    </row>
    <row r="42">
      <c r="A42" s="1" t="n"/>
      <c r="B42" s="3" t="n"/>
      <c r="C42" s="1" t="inlineStr">
        <is>
          <t>최희선</t>
        </is>
      </c>
      <c r="D42" s="1">
        <f>IF(OR(E42="", H42=""), "anti-mouse CD31 (PECAM-1) 100ug", IFERROR(IF(VLOOKUP(E42&amp;"|"&amp;H42&amp;"", DB!$A:$N, 4, FALSE)="","anti-mouse CD31 (PECAM-1) 100ug",VLOOKUP(E42&amp;"|"&amp;H42&amp;"", DB!$A:$N, 4, FALSE)), "anti-mouse CD31 (PECAM-1) 100ug"))</f>
        <v/>
      </c>
      <c r="E42" s="1" t="inlineStr">
        <is>
          <t>Aldrich</t>
        </is>
      </c>
      <c r="F42" s="1" t="inlineStr">
        <is>
          <t>13g</t>
        </is>
      </c>
      <c r="G42" s="28">
        <f>IF(OR(E42="", H42=""), "", IFERROR(VLOOKUP(E42&amp;"|"&amp;H42&amp;"", DB!$A:$N, 5, FALSE), ""))</f>
        <v/>
      </c>
      <c r="H42" s="3" t="inlineStr">
        <is>
          <t>3we3</t>
        </is>
      </c>
      <c r="I42" s="1" t="n">
        <v>309</v>
      </c>
      <c r="J42" s="1">
        <f>IF(OR(E42="", H42=""), "", IFERROR(IF(VLOOKUP(E42&amp;"|"&amp;H42&amp;"", DB!$A:$N, 6, FALSE)="","-",VLOOKUP(E42&amp;"|"&amp;H42&amp;"", DB!$A:$N, 6, FALSE)), "-"))</f>
        <v/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  <c r="P42" s="28">
        <f>IF(OR(E42="", H42=""), "", IFERROR(IF(VLOOKUP(E42&amp;"|"&amp;H42&amp;"", DB!$A:$N, 10, FALSE)="","-",VLOOKUP(E42&amp;"|"&amp;H42&amp;"", DB!$A:$N, 10, FALSE)), "-"))</f>
        <v/>
      </c>
      <c r="Q42" s="28">
        <f>IF(OR(E42="", H42=""), "", IFERROR(IF(VLOOKUP(E42&amp;"|"&amp;H42&amp;"", DB!$A:$N, 7, FALSE)="","-",VLOOKUP(E42&amp;"|"&amp;H42&amp;"", DB!$A:$N, 7, FALSE)), "-"))</f>
        <v/>
      </c>
      <c r="R42" s="28">
        <f>IF(OR(E42="", H42=""), "", IFERROR(IF(VLOOKUP(E42&amp;"|"&amp;H42&amp;"", DB!$A:$N, 8, FALSE)="","-",VLOOKUP(E42&amp;"|"&amp;H42&amp;"", DB!$A:$N, 8, FALSE)), "-"))</f>
        <v/>
      </c>
      <c r="S42" s="28">
        <f>IF(OR(E42="", H42=""), "", IFERROR(IF(VLOOKUP(E42&amp;"|"&amp;H42&amp;"", DB!$A:$N, 9, FALSE)="","-",VLOOKUP(E42&amp;"|"&amp;H42&amp;"", DB!$A:$N, 9, FALSE)), "-"))</f>
        <v/>
      </c>
      <c r="T42" s="28">
        <f>IF(OR(E42="", H42=""), "", IFERROR(IF(VLOOKUP(E42&amp;"|"&amp;H42&amp;"", DB!$A:$N, 11, FALSE)="","-",VLOOKUP(E42&amp;"|"&amp;H42&amp;"", DB!$A:$N, 11, FALSE)), "-"))</f>
        <v/>
      </c>
      <c r="U42" s="28">
        <f>IF(OR(E42="", H42=""), "", IFERROR(IF(VLOOKUP(E42&amp;"|"&amp;H42&amp;"", DB!$A:$N, 12, FALSE)="","-",VLOOKUP(E42&amp;"|"&amp;H42&amp;"", DB!$A:$N, 12, FALSE)), "-"))</f>
        <v/>
      </c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>
        <f>IF(OR(E43="", H43=""), "anti-mouse CD31 (PECAM-1) 100ug", IFERROR(IF(VLOOKUP(E43&amp;"|"&amp;H43&amp;"", DB!$A:$N, 4, FALSE)="","anti-mouse CD31 (PECAM-1) 100ug",VLOOKUP(E43&amp;"|"&amp;H43&amp;"", DB!$A:$N, 4, FALSE)), "anti-mouse CD31 (PECAM-1) 100ug"))</f>
        <v/>
      </c>
      <c r="E43" s="1" t="inlineStr">
        <is>
          <t>Aldrich</t>
        </is>
      </c>
      <c r="F43" s="1" t="inlineStr">
        <is>
          <t>13g</t>
        </is>
      </c>
      <c r="G43" s="1">
        <f>IF(OR(E43="", H43=""), "", IFERROR(VLOOKUP(E43&amp;"|"&amp;H43&amp;"", DB!$A:$N, 5, FALSE), ""))</f>
        <v/>
      </c>
      <c r="H43" s="3" t="inlineStr">
        <is>
          <t>3we3</t>
        </is>
      </c>
      <c r="I43" s="1" t="n"/>
      <c r="J43" s="1">
        <f>IF(OR(E43="", H43=""), "", IFERROR(IF(VLOOKUP(E43&amp;"|"&amp;H43&amp;"", DB!$A:$N, 6, FALSE)="","-",VLOOKUP(E43&amp;"|"&amp;H43&amp;"", DB!$A:$N, 6, FALSE)), "-"))</f>
        <v/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  <c r="P43" s="28">
        <f>IF(OR(E43="", H43=""), "", IFERROR(IF(VLOOKUP(E43&amp;"|"&amp;H43&amp;"", DB!$A:$N, 10, FALSE)="","-",VLOOKUP(E43&amp;"|"&amp;H43&amp;"", DB!$A:$N, 10, FALSE)), "-"))</f>
        <v/>
      </c>
      <c r="Q43" s="28">
        <f>IF(OR(E43="", H43=""), "", IFERROR(IF(VLOOKUP(E43&amp;"|"&amp;H43&amp;"", DB!$A:$N, 7, FALSE)="","-",VLOOKUP(E43&amp;"|"&amp;H43&amp;"", DB!$A:$N, 7, FALSE)), "-"))</f>
        <v/>
      </c>
      <c r="R43" s="28">
        <f>IF(OR(E43="", H43=""), "", IFERROR(IF(VLOOKUP(E43&amp;"|"&amp;H43&amp;"", DB!$A:$N, 8, FALSE)="","-",VLOOKUP(E43&amp;"|"&amp;H43&amp;"", DB!$A:$N, 8, FALSE)), "-"))</f>
        <v/>
      </c>
      <c r="S43" s="28">
        <f>IF(OR(E43="", H43=""), "", IFERROR(IF(VLOOKUP(E43&amp;"|"&amp;H43&amp;"", DB!$A:$N, 9, FALSE)="","-",VLOOKUP(E43&amp;"|"&amp;H43&amp;"", DB!$A:$N, 9, FALSE)), "-"))</f>
        <v/>
      </c>
      <c r="T43" s="28">
        <f>IF(OR(E43="", H43=""), "", IFERROR(IF(VLOOKUP(E43&amp;"|"&amp;H43&amp;"", DB!$A:$N, 11, FALSE)="","-",VLOOKUP(E43&amp;"|"&amp;H43&amp;"", DB!$A:$N, 11, FALSE)), "-"))</f>
        <v/>
      </c>
      <c r="U43" s="28">
        <f>IF(OR(E43="", H43=""), "", IFERROR(IF(VLOOKUP(E43&amp;"|"&amp;H43&amp;"", DB!$A:$N, 12, FALSE)="","-",VLOOKUP(E43&amp;"|"&amp;H43&amp;"", DB!$A:$N, 12, FALSE)), "-"))</f>
        <v/>
      </c>
    </row>
    <row r="44" ht="33" customHeight="1" s="12">
      <c r="A44" s="13" t="inlineStr">
        <is>
          <t>26-0347</t>
        </is>
      </c>
      <c r="B44" s="3" t="inlineStr">
        <is>
          <t>6/18</t>
        </is>
      </c>
      <c r="C44" s="13" t="inlineStr">
        <is>
          <t>강채린</t>
        </is>
      </c>
      <c r="D44" s="13">
        <f>IF(OR(E44="", H44=""), "1-Adamantanethiol", IFERROR(IF(VLOOKUP(E44&amp;"|"&amp;H44&amp;"", DB!$A:$N, 4, FALSE)="","1-Adamantanethiol",VLOOKUP(E44&amp;"|"&amp;H44&amp;"", DB!$A:$N, 4, FALSE)), "1-Adamantanethiol"))</f>
        <v/>
      </c>
      <c r="E44" s="14" t="inlineStr">
        <is>
          <t>Aldrich</t>
        </is>
      </c>
      <c r="F44" s="13" t="inlineStr">
        <is>
          <t>5g</t>
        </is>
      </c>
      <c r="G44" s="1">
        <f>IF(OR(E44="", H44=""), "", IFERROR(VLOOKUP(E44&amp;"|"&amp;H44&amp;"", DB!$A:$N, 5, FALSE), ""))</f>
        <v/>
      </c>
      <c r="H44" s="17" t="inlineStr">
        <is>
          <t>659452</t>
        </is>
      </c>
      <c r="I44" s="1" t="n"/>
      <c r="J44" s="1">
        <f>IF(OR(E44="", H44=""), "", IFERROR(IF(VLOOKUP(E44&amp;"|"&amp;H44&amp;"", DB!$A:$N, 6, FALSE)="","-",VLOOKUP(E44&amp;"|"&amp;H44&amp;"", DB!$A:$N, 6, FALSE)), "-"))</f>
        <v/>
      </c>
      <c r="K44" s="1" t="n"/>
      <c r="L44" s="1" t="n">
        <v>1</v>
      </c>
      <c r="M44" s="1" t="n"/>
      <c r="N44" s="1">
        <f>IF(TRIM(D44)="", "", IF(N(L44)-N(M44)&lt;=0, "X", N(L44)-N(M44)))</f>
        <v/>
      </c>
      <c r="O44" s="13" t="n"/>
      <c r="P44" s="28">
        <f>IF(OR(E44="", H44=""), "", IFERROR(IF(VLOOKUP(E44&amp;"|"&amp;H44&amp;"", DB!$A:$N, 10, FALSE)="","-",VLOOKUP(E44&amp;"|"&amp;H44&amp;"", DB!$A:$N, 10, FALSE)), "-"))</f>
        <v/>
      </c>
      <c r="Q44" s="15">
        <f>IF(OR(E44="", H44=""), "", IFERROR(IF(VLOOKUP(E44&amp;"|"&amp;H44&amp;"", DB!$A:$N, 7, FALSE)="","-",VLOOKUP(E44&amp;"|"&amp;H44&amp;"", DB!$A:$N, 7, FALSE)), "-"))</f>
        <v/>
      </c>
      <c r="R44" s="22">
        <f>IF(OR(E44="", H44=""), "", IFERROR(IF(VLOOKUP(E44&amp;"|"&amp;H44&amp;"", DB!$A:$N, 8, FALSE)="","-",VLOOKUP(E44&amp;"|"&amp;H44&amp;"", DB!$A:$N, 8, FALSE)), "-"))</f>
        <v/>
      </c>
      <c r="S44" s="28">
        <f>IF(OR(E44="", H44=""), "", IFERROR(IF(VLOOKUP(E44&amp;"|"&amp;H44&amp;"", DB!$A:$N, 9, FALSE)="","-",VLOOKUP(E44&amp;"|"&amp;H44&amp;"", DB!$A:$N, 9, FALSE)), "-"))</f>
        <v/>
      </c>
      <c r="T44" s="28">
        <f>IF(OR(E44="", H44=""), "", IFERROR(IF(VLOOKUP(E44&amp;"|"&amp;H44&amp;"", DB!$A:$N, 11, FALSE)="","-",VLOOKUP(E44&amp;"|"&amp;H44&amp;"", DB!$A:$N, 11, FALSE)), "-"))</f>
        <v/>
      </c>
      <c r="U44" s="28">
        <f>IF(OR(E44="", H44=""), "", IFERROR(IF(VLOOKUP(E44&amp;"|"&amp;H44&amp;"", DB!$A:$N, 12, FALSE)="","-",VLOOKUP(E44&amp;"|"&amp;H44&amp;"", DB!$A:$N, 12, FALSE)), "-"))</f>
        <v/>
      </c>
    </row>
    <row r="45">
      <c r="A45" s="13" t="inlineStr">
        <is>
          <t>26-0340</t>
        </is>
      </c>
      <c r="B45" s="3" t="inlineStr">
        <is>
          <t>6/19</t>
        </is>
      </c>
      <c r="C45" s="13" t="inlineStr">
        <is>
          <t>강채린</t>
        </is>
      </c>
      <c r="D45" s="13">
        <f>IF(OR(E45="", H45=""), "Acetaldehyde", IFERROR(IF(VLOOKUP(E45&amp;"|"&amp;H45&amp;"", DB!$A:$N, 4, FALSE)="","Acetaldehyde",VLOOKUP(E45&amp;"|"&amp;H45&amp;"", DB!$A:$N, 4, FALSE)), "Acetaldehyde"))</f>
        <v/>
      </c>
      <c r="E45" s="14" t="inlineStr">
        <is>
          <t>Aldrich</t>
        </is>
      </c>
      <c r="F45" s="13" t="inlineStr">
        <is>
          <t>100 mL</t>
        </is>
      </c>
      <c r="G45" s="1">
        <f>IF(OR(E45="", H45=""), "", IFERROR(VLOOKUP(E45&amp;"|"&amp;H45&amp;"", DB!$A:$N, 5, FALSE), ""))</f>
        <v/>
      </c>
      <c r="H45" s="17" t="inlineStr">
        <is>
          <t>402788</t>
        </is>
      </c>
      <c r="I45" s="1" t="n"/>
      <c r="J45" s="1">
        <f>IF(OR(E45="", H45=""), "", IFERROR(IF(VLOOKUP(E45&amp;"|"&amp;H45&amp;"", DB!$A:$N, 6, FALSE)="","-",VLOOKUP(E45&amp;"|"&amp;H45&amp;"", DB!$A:$N, 6, FALSE)), "-"))</f>
        <v/>
      </c>
      <c r="K45" s="1" t="n"/>
      <c r="L45" s="1" t="n">
        <v>1</v>
      </c>
      <c r="M45" s="1" t="n"/>
      <c r="N45" s="1">
        <f>IF(TRIM(D45)="", "", IF(N(L45)-N(M45)&lt;=0, "X", N(L45)-N(M45)))</f>
        <v/>
      </c>
      <c r="O45" s="13" t="n"/>
      <c r="P45" s="28">
        <f>IF(OR(E45="", H45=""), "", IFERROR(IF(VLOOKUP(E45&amp;"|"&amp;H45&amp;"", DB!$A:$N, 10, FALSE)="","-",VLOOKUP(E45&amp;"|"&amp;H45&amp;"", DB!$A:$N, 10, FALSE)), "-"))</f>
        <v/>
      </c>
      <c r="Q45" s="15">
        <f>IF(OR(E45="", H45=""), "", IFERROR(IF(VLOOKUP(E45&amp;"|"&amp;H45&amp;"", DB!$A:$N, 7, FALSE)="","-",VLOOKUP(E45&amp;"|"&amp;H45&amp;"", DB!$A:$N, 7, FALSE)), "-"))</f>
        <v/>
      </c>
      <c r="R45" s="22">
        <f>IF(OR(E45="", H45=""), "", IFERROR(IF(VLOOKUP(E45&amp;"|"&amp;H45&amp;"", DB!$A:$N, 8, FALSE)="","-",VLOOKUP(E45&amp;"|"&amp;H45&amp;"", DB!$A:$N, 8, FALSE)), "-"))</f>
        <v/>
      </c>
      <c r="S45" s="28">
        <f>IF(OR(E45="", H45=""), "", IFERROR(IF(VLOOKUP(E45&amp;"|"&amp;H45&amp;"", DB!$A:$N, 9, FALSE)="","-",VLOOKUP(E45&amp;"|"&amp;H45&amp;"", DB!$A:$N, 9, FALSE)), "-"))</f>
        <v/>
      </c>
      <c r="T45" s="28">
        <f>IF(OR(E45="", H45=""), "", IFERROR(IF(VLOOKUP(E45&amp;"|"&amp;H45&amp;"", DB!$A:$N, 11, FALSE)="","-",VLOOKUP(E45&amp;"|"&amp;H45&amp;"", DB!$A:$N, 11, FALSE)), "-"))</f>
        <v/>
      </c>
      <c r="U45" s="28">
        <f>IF(OR(E45="", H45=""), "", IFERROR(IF(VLOOKUP(E45&amp;"|"&amp;H45&amp;"", DB!$A:$N, 12, FALSE)="","-",VLOOKUP(E45&amp;"|"&amp;H45&amp;"", DB!$A:$N, 12, FALSE)), "-"))</f>
        <v/>
      </c>
    </row>
    <row r="46">
      <c r="A46" s="13" t="inlineStr">
        <is>
          <t>26-0339</t>
        </is>
      </c>
      <c r="B46" s="3" t="inlineStr">
        <is>
          <t>6/19</t>
        </is>
      </c>
      <c r="C46" s="13" t="inlineStr">
        <is>
          <t>강채린</t>
        </is>
      </c>
      <c r="D46" s="13">
        <f>IF(OR(E46="", H46=""), "p-Chloranil", IFERROR(IF(VLOOKUP(E46&amp;"|"&amp;H46&amp;"", DB!$A:$N, 4, FALSE)="","p-Chloranil",VLOOKUP(E46&amp;"|"&amp;H46&amp;"", DB!$A:$N, 4, FALSE)), "p-Chloranil"))</f>
        <v/>
      </c>
      <c r="E46" s="14" t="inlineStr">
        <is>
          <t>Aldrich</t>
        </is>
      </c>
      <c r="F46" s="13" t="inlineStr">
        <is>
          <t>5g</t>
        </is>
      </c>
      <c r="G46" s="1">
        <f>IF(OR(E46="", H46=""), "", IFERROR(VLOOKUP(E46&amp;"|"&amp;H46&amp;"", DB!$A:$N, 5, FALSE), ""))</f>
        <v/>
      </c>
      <c r="H46" s="17" t="inlineStr">
        <is>
          <t>8.02361</t>
        </is>
      </c>
      <c r="I46" s="1" t="n"/>
      <c r="J46" s="1">
        <f>IF(OR(E46="", H46=""), "", IFERROR(IF(VLOOKUP(E46&amp;"|"&amp;H46&amp;"", DB!$A:$N, 6, FALSE)="","-",VLOOKUP(E46&amp;"|"&amp;H46&amp;"", DB!$A:$N, 6, FALSE)), "-"))</f>
        <v/>
      </c>
      <c r="K46" s="1" t="n"/>
      <c r="L46" s="1" t="n">
        <v>1</v>
      </c>
      <c r="M46" s="1" t="n"/>
      <c r="N46" s="1">
        <f>IF(TRIM(D46)="", "", IF(N(L46)-N(M46)&lt;=0, "X", N(L46)-N(M46)))</f>
        <v/>
      </c>
      <c r="O46" s="13" t="n"/>
      <c r="P46" s="28">
        <f>IF(OR(E46="", H46=""), "", IFERROR(IF(VLOOKUP(E46&amp;"|"&amp;H46&amp;"", DB!$A:$N, 10, FALSE)="","-",VLOOKUP(E46&amp;"|"&amp;H46&amp;"", DB!$A:$N, 10, FALSE)), "-"))</f>
        <v/>
      </c>
      <c r="Q46" s="21">
        <f>IF(OR(E46="", H46=""), "", IFERROR(IF(VLOOKUP(E46&amp;"|"&amp;H46&amp;"", DB!$A:$N, 7, FALSE)="","-",VLOOKUP(E46&amp;"|"&amp;H46&amp;"", DB!$A:$N, 7, FALSE)), "-"))</f>
        <v/>
      </c>
      <c r="R46" s="22">
        <f>IF(OR(E46="", H46=""), "", IFERROR(IF(VLOOKUP(E46&amp;"|"&amp;H46&amp;"", DB!$A:$N, 8, FALSE)="","-",VLOOKUP(E46&amp;"|"&amp;H46&amp;"", DB!$A:$N, 8, FALSE)), "-"))</f>
        <v/>
      </c>
      <c r="S46" s="28">
        <f>IF(OR(E46="", H46=""), "", IFERROR(IF(VLOOKUP(E46&amp;"|"&amp;H46&amp;"", DB!$A:$N, 9, FALSE)="","-",VLOOKUP(E46&amp;"|"&amp;H46&amp;"", DB!$A:$N, 9, FALSE)), "-"))</f>
        <v/>
      </c>
      <c r="T46" s="28">
        <f>IF(OR(E46="", H46=""), "", IFERROR(IF(VLOOKUP(E46&amp;"|"&amp;H46&amp;"", DB!$A:$N, 11, FALSE)="","-",VLOOKUP(E46&amp;"|"&amp;H46&amp;"", DB!$A:$N, 11, FALSE)), "-"))</f>
        <v/>
      </c>
      <c r="U46" s="28">
        <f>IF(OR(E46="", H46=""), "", IFERROR(IF(VLOOKUP(E46&amp;"|"&amp;H46&amp;"", DB!$A:$N, 12, FALSE)="","-",VLOOKUP(E46&amp;"|"&amp;H46&amp;"", DB!$A:$N, 12, FALSE)), "-"))</f>
        <v/>
      </c>
    </row>
    <row r="47">
      <c r="D47" s="28">
        <f>IF(OR(E47="", H47=""), "DTSSP (3,3′-dithiobis(sulfosuccinimidyl propionate))", IFERROR(IF(VLOOKUP(E47&amp;"|"&amp;H47&amp;"", DB!$A:$N, 4, FALSE)="","DTSSP (3,3′-dithiobis(sulfosuccinimidyl propionate))",VLOOKUP(E47&amp;"|"&amp;H47&amp;"", DB!$A:$N, 4, FALSE)), "DTSSP (3,3′-dithiobis(sulfosuccinimidyl propionate))"))</f>
        <v/>
      </c>
      <c r="E47" s="11" t="inlineStr">
        <is>
          <t>Aldrich</t>
        </is>
      </c>
      <c r="G47" s="28">
        <f>IF(OR(E47="", H47=""), "", IFERROR(VLOOKUP(E47&amp;"|"&amp;H47&amp;"", DB!$A:$N, 5, FALSE), ""))</f>
        <v/>
      </c>
      <c r="H47" s="18" t="inlineStr">
        <is>
          <t>803200</t>
        </is>
      </c>
      <c r="J47" s="28">
        <f>IF(OR(E47="", H47=""), "", IFERROR(IF(VLOOKUP(E47&amp;"|"&amp;H47&amp;"", DB!$A:$N, 6, FALSE)="","-",VLOOKUP(E47&amp;"|"&amp;H47&amp;"", DB!$A:$N, 6, FALSE)), "-"))</f>
        <v/>
      </c>
      <c r="N47" s="1">
        <f>IF(TRIM(D47)="", "", IF(N(L47)-N(M47)&lt;=0, "X", N(L47)-N(M47)))</f>
        <v/>
      </c>
      <c r="P47" s="28">
        <f>IF(OR(E47="", H47=""), "", IFERROR(IF(VLOOKUP(E47&amp;"|"&amp;H47&amp;"", DB!$A:$N, 10, FALSE)="","-",VLOOKUP(E47&amp;"|"&amp;H47&amp;"", DB!$A:$N, 10, FALSE)), "-"))</f>
        <v/>
      </c>
      <c r="Q47" s="28">
        <f>IF(OR(E47="", H47=""), "", IFERROR(IF(VLOOKUP(E47&amp;"|"&amp;H47&amp;"", DB!$A:$N, 7, FALSE)="","-",VLOOKUP(E47&amp;"|"&amp;H47&amp;"", DB!$A:$N, 7, FALSE)), "-"))</f>
        <v/>
      </c>
      <c r="R47" s="28">
        <f>IF(OR(E47="", H47=""), "", IFERROR(IF(VLOOKUP(E47&amp;"|"&amp;H47&amp;"", DB!$A:$N, 8, FALSE)="","-",VLOOKUP(E47&amp;"|"&amp;H47&amp;"", DB!$A:$N, 8, FALSE)), "-"))</f>
        <v/>
      </c>
      <c r="S47" s="28">
        <f>IF(OR(E47="", H47=""), "", IFERROR(IF(VLOOKUP(E47&amp;"|"&amp;H47&amp;"", DB!$A:$N, 9, FALSE)="","-",VLOOKUP(E47&amp;"|"&amp;H47&amp;"", DB!$A:$N, 9, FALSE)), "-"))</f>
        <v/>
      </c>
      <c r="T47" s="28">
        <f>IF(OR(E47="", H47=""), "", IFERROR(IF(VLOOKUP(E47&amp;"|"&amp;H47&amp;"", DB!$A:$N, 11, FALSE)="","-",VLOOKUP(E47&amp;"|"&amp;H47&amp;"", DB!$A:$N, 11, FALSE)), "-"))</f>
        <v/>
      </c>
      <c r="U47" s="28">
        <f>IF(OR(E47="", H47=""), "", IFERROR(IF(VLOOKUP(E47&amp;"|"&amp;H47&amp;"", DB!$A:$N, 12, FALSE)="","-",VLOOKUP(E47&amp;"|"&amp;H47&amp;"", DB!$A:$N, 12, FALSE)), "-"))</f>
        <v/>
      </c>
    </row>
    <row r="48" ht="33" customHeight="1" s="12">
      <c r="D48" s="28">
        <f>IF(OR(E48="", H48=""), "Acrylic anhydride", IFERROR(IF(VLOOKUP(E48&amp;"|"&amp;H48&amp;"", DB!$A:$N, 4, FALSE)="","Acrylic anhydride",VLOOKUP(E48&amp;"|"&amp;H48&amp;"", DB!$A:$N, 4, FALSE)), "Acrylic anhydride"))</f>
        <v/>
      </c>
      <c r="E48" s="11" t="inlineStr">
        <is>
          <t>Aldrich</t>
        </is>
      </c>
      <c r="G48" s="28">
        <f>IF(OR(E48="", H48=""), "", IFERROR(VLOOKUP(E48&amp;"|"&amp;H48&amp;"", DB!$A:$N, 5, FALSE), ""))</f>
        <v/>
      </c>
      <c r="H48" s="18" t="inlineStr">
        <is>
          <t>909270-10G</t>
        </is>
      </c>
      <c r="J48" s="28">
        <f>IF(OR(E48="", H48=""), "", IFERROR(IF(VLOOKUP(E48&amp;"|"&amp;H48&amp;"", DB!$A:$N, 6, FALSE)="","-",VLOOKUP(E48&amp;"|"&amp;H48&amp;"", DB!$A:$N, 6, FALSE)), "-"))</f>
        <v/>
      </c>
      <c r="N48" s="1">
        <f>IF(TRIM(D48)="", "", IF(N(L48)-N(M48)&lt;=0, "X", N(L48)-N(M48)))</f>
        <v/>
      </c>
      <c r="P48" s="28">
        <f>IF(OR(E48="", H48=""), "", IFERROR(IF(VLOOKUP(E48&amp;"|"&amp;H48&amp;"", DB!$A:$N, 10, FALSE)="","-",VLOOKUP(E48&amp;"|"&amp;H48&amp;"", DB!$A:$N, 10, FALSE)), "-"))</f>
        <v/>
      </c>
      <c r="Q48" s="15">
        <f>IF(OR(E48="", H48=""), "", IFERROR(IF(VLOOKUP(E48&amp;"|"&amp;H48&amp;"", DB!$A:$N, 7, FALSE)="","-",VLOOKUP(E48&amp;"|"&amp;H48&amp;"", DB!$A:$N, 7, FALSE)), "-"))</f>
        <v/>
      </c>
      <c r="R48" s="23">
        <f>IF(OR(E48="", H48=""), "", IFERROR(IF(VLOOKUP(E48&amp;"|"&amp;H48&amp;"", DB!$A:$N, 8, FALSE)="","-",VLOOKUP(E48&amp;"|"&amp;H48&amp;"", DB!$A:$N, 8, FALSE)), "-"))</f>
        <v/>
      </c>
      <c r="S48" s="28">
        <f>IF(OR(E48="", H48=""), "", IFERROR(IF(VLOOKUP(E48&amp;"|"&amp;H48&amp;"", DB!$A:$N, 9, FALSE)="","-",VLOOKUP(E48&amp;"|"&amp;H48&amp;"", DB!$A:$N, 9, FALSE)), "-"))</f>
        <v/>
      </c>
      <c r="T48" s="28">
        <f>IF(OR(E48="", H48=""), "", IFERROR(IF(VLOOKUP(E48&amp;"|"&amp;H48&amp;"", DB!$A:$N, 11, FALSE)="","-",VLOOKUP(E48&amp;"|"&amp;H48&amp;"", DB!$A:$N, 11, FALSE)), "-"))</f>
        <v/>
      </c>
      <c r="U48" s="28">
        <f>IF(OR(E48="", H48=""), "", IFERROR(IF(VLOOKUP(E48&amp;"|"&amp;H48&amp;"", DB!$A:$N, 12, FALSE)="","-",VLOOKUP(E48&amp;"|"&amp;H48&amp;"", DB!$A:$N, 12, FALSE)), "-"))</f>
        <v/>
      </c>
    </row>
    <row r="49" ht="33" customHeight="1" s="12">
      <c r="D49" s="28">
        <f>IF(OR(E49="", H49=""), "Alexa Fluor™ 488 Hydrazide", IFERROR(IF(VLOOKUP(E49&amp;"|"&amp;H49&amp;"", DB!$A:$N, 4, FALSE)="","Alexa Fluor™ 488 Hydrazide",VLOOKUP(E49&amp;"|"&amp;H49&amp;"", DB!$A:$N, 4, FALSE)), "Alexa Fluor™ 488 Hydrazide"))</f>
        <v/>
      </c>
      <c r="E49" s="11" t="inlineStr">
        <is>
          <t>ThermoFisher</t>
        </is>
      </c>
      <c r="G49" s="28">
        <f>IF(OR(E49="", H49=""), "", IFERROR(VLOOKUP(E49&amp;"|"&amp;H49&amp;"", DB!$A:$N, 5, FALSE), ""))</f>
        <v/>
      </c>
      <c r="H49" s="18" t="inlineStr">
        <is>
          <t>A10436</t>
        </is>
      </c>
      <c r="J49" s="28">
        <f>IF(OR(E49="", H49=""), "", IFERROR(IF(VLOOKUP(E49&amp;"|"&amp;H49&amp;"", DB!$A:$N, 6, FALSE)="","-",VLOOKUP(E49&amp;"|"&amp;H49&amp;"", DB!$A:$N, 6, FALSE)), "-"))</f>
        <v/>
      </c>
      <c r="N49" s="1">
        <f>IF(TRIM(D49)="", "", IF(N(L49)-N(M49)&lt;=0, "X", N(L49)-N(M49)))</f>
        <v/>
      </c>
      <c r="P49" s="28">
        <f>IF(OR(E49="", H49=""), "", IFERROR(IF(VLOOKUP(E49&amp;"|"&amp;H49&amp;"", DB!$A:$N, 10, FALSE)="","-",VLOOKUP(E49&amp;"|"&amp;H49&amp;"", DB!$A:$N, 10, FALSE)), "-"))</f>
        <v/>
      </c>
      <c r="Q49" s="28">
        <f>IF(OR(E49="", H49=""), "", IFERROR(IF(VLOOKUP(E49&amp;"|"&amp;H49&amp;"", DB!$A:$N, 7, FALSE)="","-",VLOOKUP(E49&amp;"|"&amp;H49&amp;"", DB!$A:$N, 7, FALSE)), "-"))</f>
        <v/>
      </c>
      <c r="R49" s="28">
        <f>IF(OR(E49="", H49=""), "", IFERROR(IF(VLOOKUP(E49&amp;"|"&amp;H49&amp;"", DB!$A:$N, 8, FALSE)="","-",VLOOKUP(E49&amp;"|"&amp;H49&amp;"", DB!$A:$N, 8, FALSE)), "-"))</f>
        <v/>
      </c>
      <c r="S49" s="28">
        <f>IF(OR(E49="", H49=""), "", IFERROR(IF(VLOOKUP(E49&amp;"|"&amp;H49&amp;"", DB!$A:$N, 9, FALSE)="","-",VLOOKUP(E49&amp;"|"&amp;H49&amp;"", DB!$A:$N, 9, FALSE)), "-"))</f>
        <v/>
      </c>
      <c r="T49" s="28">
        <f>IF(OR(E49="", H49=""), "", IFERROR(IF(VLOOKUP(E49&amp;"|"&amp;H49&amp;"", DB!$A:$N, 11, FALSE)="","-",VLOOKUP(E49&amp;"|"&amp;H49&amp;"", DB!$A:$N, 11, FALSE)), "-"))</f>
        <v/>
      </c>
      <c r="U49" s="28">
        <f>IF(OR(E49="", H49=""), "", IFERROR(IF(VLOOKUP(E49&amp;"|"&amp;H49&amp;"", DB!$A:$N, 12, FALSE)="","-",VLOOKUP(E49&amp;"|"&amp;H49&amp;"", DB!$A:$N, 12, FALSE)), "-"))</f>
        <v/>
      </c>
    </row>
    <row r="50" ht="33" customHeight="1" s="12">
      <c r="D50" s="28">
        <f>IF(OR(E50="", H50=""), "Alexa Fluor 488 Recombinant F(ab)-Rabbit Monoclonal Antibody (15H9L93)", IFERROR(IF(VLOOKUP(E50&amp;"|"&amp;H50&amp;"", DB!$A:$N, 4, FALSE)="","Alexa Fluor 488 Recombinant F(ab)-Rabbit Monoclonal Antibody (15H9L93)",VLOOKUP(E50&amp;"|"&amp;H50&amp;"", DB!$A:$N, 4, FALSE)), "Alexa Fluor 488 Recombinant F(ab)-Rabbit Monoclonal Antibody (15H9L93)"))</f>
        <v/>
      </c>
      <c r="E50" s="11" t="inlineStr">
        <is>
          <t>ThermoFisher</t>
        </is>
      </c>
      <c r="G50" s="28">
        <f>IF(OR(E50="", H50=""), "", IFERROR(VLOOKUP(E50&amp;"|"&amp;H50&amp;"", DB!$A:$N, 5, FALSE), ""))</f>
        <v/>
      </c>
      <c r="H50" s="18" t="inlineStr">
        <is>
          <t>704060F</t>
        </is>
      </c>
      <c r="J50" s="28">
        <f>IF(OR(E50="", H50=""), "", IFERROR(IF(VLOOKUP(E50&amp;"|"&amp;H50&amp;"", DB!$A:$N, 6, FALSE)="","-",VLOOKUP(E50&amp;"|"&amp;H50&amp;"", DB!$A:$N, 6, FALSE)), "-"))</f>
        <v/>
      </c>
      <c r="N50" s="1">
        <f>IF(TRIM(D50)="", "", IF(N(L50)-N(M50)&lt;=0, "X", N(L50)-N(M50)))</f>
        <v/>
      </c>
      <c r="P50" s="28">
        <f>IF(OR(E50="", H50=""), "", IFERROR(IF(VLOOKUP(E50&amp;"|"&amp;H50&amp;"", DB!$A:$N, 10, FALSE)="","-",VLOOKUP(E50&amp;"|"&amp;H50&amp;"", DB!$A:$N, 10, FALSE)), "-"))</f>
        <v/>
      </c>
      <c r="Q50" s="28">
        <f>IF(OR(E50="", H50=""), "", IFERROR(IF(VLOOKUP(E50&amp;"|"&amp;H50&amp;"", DB!$A:$N, 7, FALSE)="","-",VLOOKUP(E50&amp;"|"&amp;H50&amp;"", DB!$A:$N, 7, FALSE)), "-"))</f>
        <v/>
      </c>
      <c r="R50" s="28">
        <f>IF(OR(E50="", H50=""), "", IFERROR(IF(VLOOKUP(E50&amp;"|"&amp;H50&amp;"", DB!$A:$N, 8, FALSE)="","-",VLOOKUP(E50&amp;"|"&amp;H50&amp;"", DB!$A:$N, 8, FALSE)), "-"))</f>
        <v/>
      </c>
      <c r="S50" s="28">
        <f>IF(OR(E50="", H50=""), "", IFERROR(IF(VLOOKUP(E50&amp;"|"&amp;H50&amp;"", DB!$A:$N, 9, FALSE)="","-",VLOOKUP(E50&amp;"|"&amp;H50&amp;"", DB!$A:$N, 9, FALSE)), "-"))</f>
        <v/>
      </c>
      <c r="T50" s="28">
        <f>IF(OR(E50="", H50=""), "", IFERROR(IF(VLOOKUP(E50&amp;"|"&amp;H50&amp;"", DB!$A:$N, 11, FALSE)="","-",VLOOKUP(E50&amp;"|"&amp;H50&amp;"", DB!$A:$N, 11, FALSE)), "-"))</f>
        <v/>
      </c>
      <c r="U50" s="28">
        <f>IF(OR(E50="", H50=""), "", IFERROR(IF(VLOOKUP(E50&amp;"|"&amp;H50&amp;"", DB!$A:$N, 12, FALSE)="","-",VLOOKUP(E50&amp;"|"&amp;H50&amp;"", DB!$A:$N, 12, FALSE)), "-"))</f>
        <v/>
      </c>
    </row>
    <row r="51">
      <c r="A51" s="13" t="inlineStr">
        <is>
          <t>26-0318</t>
        </is>
      </c>
      <c r="B51" s="3" t="inlineStr">
        <is>
          <t>6/15</t>
        </is>
      </c>
      <c r="C51" s="13" t="inlineStr">
        <is>
          <t>강채린</t>
        </is>
      </c>
      <c r="D51" s="13">
        <f>IF(OR(E51="", H51=""), "1,1'-Carbonyldiimidazole", IFERROR(IF(VLOOKUP(E51&amp;"|"&amp;H51&amp;"", DB!$A:$N, 4, FALSE)="","1,1'-Carbonyldiimidazole",VLOOKUP(E51&amp;"|"&amp;H51&amp;"", DB!$A:$N, 4, FALSE)), "1,1'-Carbonyldiimidazole"))</f>
        <v/>
      </c>
      <c r="E51" s="13" t="inlineStr">
        <is>
          <t>TCI</t>
        </is>
      </c>
      <c r="F51" s="13" t="inlineStr">
        <is>
          <t>25g</t>
        </is>
      </c>
      <c r="G51" s="13">
        <f>IF(OR(E51="", H51=""), "", IFERROR(VLOOKUP(E51&amp;"|"&amp;H51&amp;"", DB!$A:$N, 5, FALSE), ""))</f>
        <v/>
      </c>
      <c r="H51" s="24" t="inlineStr">
        <is>
          <t>c0119</t>
        </is>
      </c>
      <c r="I51" s="1" t="n"/>
      <c r="J51" s="1">
        <f>IF(OR(E51="", H51=""), "", IFERROR(IF(VLOOKUP(E51&amp;"|"&amp;H51&amp;"", DB!$A:$N, 6, FALSE)="","-",VLOOKUP(E51&amp;"|"&amp;H51&amp;"", DB!$A:$N, 6, FALSE)), "-"))</f>
        <v/>
      </c>
      <c r="K51" s="1" t="n"/>
      <c r="L51" s="1" t="n">
        <v>1</v>
      </c>
      <c r="M51" s="1" t="n"/>
      <c r="N51" s="1">
        <f>IF(TRIM(D51)="", "", IF(N(L51)-N(M51)&lt;=0, "X", N(L51)-N(M51)))</f>
        <v/>
      </c>
      <c r="O51" s="13" t="n"/>
      <c r="P51" s="28">
        <f>IF(OR(E51="", H51=""), "", IFERROR(IF(VLOOKUP(E51&amp;"|"&amp;H51&amp;"", DB!$A:$N, 10, FALSE)="","-",VLOOKUP(E51&amp;"|"&amp;H51&amp;"", DB!$A:$N, 10, FALSE)), "-"))</f>
        <v/>
      </c>
      <c r="Q51" s="22">
        <f>IF(OR(E51="", H51=""), "", IFERROR(IF(VLOOKUP(E51&amp;"|"&amp;H51&amp;"", DB!$A:$N, 7, FALSE)="","-",VLOOKUP(E51&amp;"|"&amp;H51&amp;"", DB!$A:$N, 7, FALSE)), "-"))</f>
        <v/>
      </c>
      <c r="R51" s="15">
        <f>IF(OR(E51="", H51=""), "", IFERROR(IF(VLOOKUP(E51&amp;"|"&amp;H51&amp;"", DB!$A:$N, 8, FALSE)="","-",VLOOKUP(E51&amp;"|"&amp;H51&amp;"", DB!$A:$N, 8, FALSE)), "-"))</f>
        <v/>
      </c>
      <c r="S51" s="28">
        <f>IF(OR(E51="", H51=""), "", IFERROR(IF(VLOOKUP(E51&amp;"|"&amp;H51&amp;"", DB!$A:$N, 9, FALSE)="","-",VLOOKUP(E51&amp;"|"&amp;H51&amp;"", DB!$A:$N, 9, FALSE)), "-"))</f>
        <v/>
      </c>
      <c r="T51" s="28">
        <f>IF(OR(E51="", H51=""), "", IFERROR(IF(VLOOKUP(E51&amp;"|"&amp;H51&amp;"", DB!$A:$N, 11, FALSE)="","-",VLOOKUP(E51&amp;"|"&amp;H51&amp;"", DB!$A:$N, 11, FALSE)), "-"))</f>
        <v/>
      </c>
      <c r="U51" s="28">
        <f>IF(OR(E51="", H51=""), "", IFERROR(IF(VLOOKUP(E51&amp;"|"&amp;H51&amp;"", DB!$A:$N, 12, FALSE)="","-",VLOOKUP(E51&amp;"|"&amp;H51&amp;"", DB!$A:$N, 12, FALSE)), "-"))</f>
        <v/>
      </c>
    </row>
    <row r="52">
      <c r="N52" s="1">
        <f>IF(TRIM(D52)="", "", IF(N(L52)-N(M52)&lt;=0, "X", N(L52)-N(M52)))</f>
        <v/>
      </c>
    </row>
    <row r="53">
      <c r="N53" s="1">
        <f>IF(TRIM(D53)="", "", IF(N(L53)-N(M53)&lt;=0, "X", N(L53)-N(M53)))</f>
        <v/>
      </c>
    </row>
    <row r="54">
      <c r="N54" s="1">
        <f>IF(TRIM(D54)="", "", IF(N(L54)-N(M54)&lt;=0, "X", N(L54)-N(M54)))</f>
        <v/>
      </c>
    </row>
    <row r="55">
      <c r="N55" s="1">
        <f>IF(TRIM(D55)="", "", IF(N(L55)-N(M55)&lt;=0, "X", N(L55)-N(M55)))</f>
        <v/>
      </c>
    </row>
    <row r="56">
      <c r="N56" s="1">
        <f>IF(TRIM(D56)="", "", IF(N(L56)-N(M56)&lt;=0, "X", N(L56)-N(M56)))</f>
        <v/>
      </c>
    </row>
    <row r="57">
      <c r="N57" s="1">
        <f>IF(TRIM(D57)="", "", IF(N(L57)-N(M57)&lt;=0, "X", N(L57)-N(M57)))</f>
        <v/>
      </c>
    </row>
    <row r="58">
      <c r="N58" s="1">
        <f>IF(TRIM(D58)="", "", IF(N(L58)-N(M58)&lt;=0, "X", N(L58)-N(M58)))</f>
        <v/>
      </c>
    </row>
    <row r="59">
      <c r="N59" s="1">
        <f>IF(TRIM(D59)="", "", IF(N(L59)-N(M59)&lt;=0, "X", N(L59)-N(M59)))</f>
        <v/>
      </c>
    </row>
    <row r="60">
      <c r="N60" s="1">
        <f>IF(TRIM(D60)="", "", IF(N(L60)-N(M60)&lt;=0, "X", N(L60)-N(M60)))</f>
        <v/>
      </c>
    </row>
    <row r="61">
      <c r="N61" s="1">
        <f>IF(TRIM(D61)="", "", IF(N(L61)-N(M61)&lt;=0, "X", N(L61)-N(M61)))</f>
        <v/>
      </c>
    </row>
    <row r="62">
      <c r="N62" s="1">
        <f>IF(TRIM(D62)="", "", IF(N(L62)-N(M62)&lt;=0, "X", N(L62)-N(M62)))</f>
        <v/>
      </c>
    </row>
    <row r="63">
      <c r="N63" s="1">
        <f>IF(TRIM(D63)="", "", IF(N(L63)-N(M63)&lt;=0, "X", N(L63)-N(M63)))</f>
        <v/>
      </c>
    </row>
    <row r="64">
      <c r="N64" s="1">
        <f>IF(TRIM(D64)="", "", IF(N(L64)-N(M64)&lt;=0, "X", N(L64)-N(M64)))</f>
        <v/>
      </c>
    </row>
    <row r="65">
      <c r="N65" s="1">
        <f>IF(TRIM(D65)="", "", IF(N(L65)-N(M65)&lt;=0, "X", N(L65)-N(M65)))</f>
        <v/>
      </c>
    </row>
    <row r="66">
      <c r="N66" s="1">
        <f>IF(TRIM(D66)="", "", IF(N(L66)-N(M66)&lt;=0, "X", N(L66)-N(M66)))</f>
        <v/>
      </c>
    </row>
    <row r="67">
      <c r="N67" s="1">
        <f>IF(TRIM(D67)="", "", IF(N(L67)-N(M67)&lt;=0, "X", N(L67)-N(M67)))</f>
        <v/>
      </c>
    </row>
    <row r="68">
      <c r="N68" s="1">
        <f>IF(TRIM(D68)="", "", IF(N(L68)-N(M68)&lt;=0, "X", N(L68)-N(M68)))</f>
        <v/>
      </c>
    </row>
    <row r="69">
      <c r="N69" s="1">
        <f>IF(TRIM(D69)="", "", IF(N(L69)-N(M69)&lt;=0, "X", N(L69)-N(M69)))</f>
        <v/>
      </c>
    </row>
    <row r="70">
      <c r="N70" s="1">
        <f>IF(TRIM(D70)="", "", IF(N(L70)-N(M70)&lt;=0, "X", N(L70)-N(M70)))</f>
        <v/>
      </c>
    </row>
    <row r="71">
      <c r="N71" s="1">
        <f>IF(TRIM(D71)="", "", IF(N(L71)-N(M71)&lt;=0, "X", N(L71)-N(M71)))</f>
        <v/>
      </c>
    </row>
    <row r="72">
      <c r="N72" s="1">
        <f>IF(TRIM(D72)="", "", IF(N(L72)-N(M72)&lt;=0, "X", N(L72)-N(M72)))</f>
        <v/>
      </c>
    </row>
    <row r="73">
      <c r="N73" s="1">
        <f>IF(TRIM(D73)="", "", IF(N(L73)-N(M73)&lt;=0, "X", N(L73)-N(M73)))</f>
        <v/>
      </c>
    </row>
    <row r="74">
      <c r="N74" s="1">
        <f>IF(TRIM(D74)="", "", IF(N(L74)-N(M74)&lt;=0, "X", N(L74)-N(M74)))</f>
        <v/>
      </c>
    </row>
    <row r="75">
      <c r="N75" s="1">
        <f>IF(TRIM(D75)="", "", IF(N(L75)-N(M75)&lt;=0, "X", N(L75)-N(M75)))</f>
        <v/>
      </c>
    </row>
    <row r="76">
      <c r="N76" s="1">
        <f>IF(TRIM(D76)="", "", IF(N(L76)-N(M76)&lt;=0, "X", N(L76)-N(M76)))</f>
        <v/>
      </c>
    </row>
    <row r="77">
      <c r="N77" s="1">
        <f>IF(TRIM(D77)="", "", IF(N(L77)-N(M77)&lt;=0, "X", N(L77)-N(M77)))</f>
        <v/>
      </c>
    </row>
    <row r="78">
      <c r="N78" s="1">
        <f>IF(TRIM(D78)="", "", IF(N(L78)-N(M78)&lt;=0, "X", N(L78)-N(M78)))</f>
        <v/>
      </c>
    </row>
    <row r="79">
      <c r="N79" s="1">
        <f>IF(TRIM(D79)="", "", IF(N(L79)-N(M79)&lt;=0, "X", N(L79)-N(M79)))</f>
        <v/>
      </c>
    </row>
    <row r="80">
      <c r="N80" s="1">
        <f>IF(TRIM(D80)="", "", IF(N(L80)-N(M80)&lt;=0, "X", N(L80)-N(M80)))</f>
        <v/>
      </c>
    </row>
    <row r="81">
      <c r="N81" s="1">
        <f>IF(TRIM(D81)="", "", IF(N(L81)-N(M81)&lt;=0, "X", N(L81)-N(M81)))</f>
        <v/>
      </c>
    </row>
    <row r="82">
      <c r="N82" s="1">
        <f>IF(TRIM(D82)="", "", IF(N(L82)-N(M82)&lt;=0, "X", N(L82)-N(M82)))</f>
        <v/>
      </c>
    </row>
    <row r="83">
      <c r="N83" s="1">
        <f>IF(TRIM(D83)="", "", IF(N(L83)-N(M83)&lt;=0, "X", N(L83)-N(M83)))</f>
        <v/>
      </c>
    </row>
    <row r="84">
      <c r="N84" s="1">
        <f>IF(TRIM(D84)="", "", IF(N(L84)-N(M84)&lt;=0, "X", N(L84)-N(M84)))</f>
        <v/>
      </c>
    </row>
    <row r="85">
      <c r="N85" s="1">
        <f>IF(TRIM(D85)="", "", IF(N(L85)-N(M85)&lt;=0, "X", N(L85)-N(M85)))</f>
        <v/>
      </c>
    </row>
    <row r="86">
      <c r="N86" s="1">
        <f>IF(TRIM(D86)="", "", IF(N(L86)-N(M86)&lt;=0, "X", N(L86)-N(M86)))</f>
        <v/>
      </c>
    </row>
    <row r="87">
      <c r="N87" s="1">
        <f>IF(TRIM(D87)="", "", IF(N(L87)-N(M87)&lt;=0, "X", N(L87)-N(M87)))</f>
        <v/>
      </c>
    </row>
    <row r="88">
      <c r="N88" s="1">
        <f>IF(TRIM(D88)="", "", IF(N(L88)-N(M88)&lt;=0, "X", N(L88)-N(M88)))</f>
        <v/>
      </c>
    </row>
    <row r="89">
      <c r="N89" s="1">
        <f>IF(TRIM(D89)="", "", IF(N(L89)-N(M89)&lt;=0, "X", N(L89)-N(M89)))</f>
        <v/>
      </c>
    </row>
    <row r="90">
      <c r="N90" s="1">
        <f>IF(TRIM(D90)="", "", IF(N(L90)-N(M90)&lt;=0, "X", N(L90)-N(M90)))</f>
        <v/>
      </c>
    </row>
    <row r="91">
      <c r="N91" s="1">
        <f>IF(TRIM(D91)="", "", IF(N(L91)-N(M91)&lt;=0, "X", N(L91)-N(M91)))</f>
        <v/>
      </c>
    </row>
    <row r="92">
      <c r="N92" s="1">
        <f>IF(TRIM(D92)="", "", IF(N(L92)-N(M92)&lt;=0, "X", N(L92)-N(M92)))</f>
        <v/>
      </c>
    </row>
    <row r="93">
      <c r="N93" s="1">
        <f>IF(TRIM(D93)="", "", IF(N(L93)-N(M93)&lt;=0, "X", N(L93)-N(M93)))</f>
        <v/>
      </c>
    </row>
    <row r="94">
      <c r="N94" s="1">
        <f>IF(TRIM(D94)="", "", IF(N(L94)-N(M94)&lt;=0, "X", N(L94)-N(M94)))</f>
        <v/>
      </c>
    </row>
    <row r="95">
      <c r="N95" s="1">
        <f>IF(TRIM(D95)="", "", IF(N(L95)-N(M95)&lt;=0, "X", N(L95)-N(M95)))</f>
        <v/>
      </c>
    </row>
    <row r="96">
      <c r="N96" s="1">
        <f>IF(TRIM(D96)="", "", IF(N(L96)-N(M96)&lt;=0, "X", N(L96)-N(M96)))</f>
        <v/>
      </c>
    </row>
    <row r="97">
      <c r="N97" s="1">
        <f>IF(TRIM(D97)="", "", IF(N(L97)-N(M97)&lt;=0, "X", N(L97)-N(M97)))</f>
        <v/>
      </c>
    </row>
    <row r="98">
      <c r="N98" s="1">
        <f>IF(TRIM(D98)="", "", IF(N(L98)-N(M98)&lt;=0, "X", N(L98)-N(M98)))</f>
        <v/>
      </c>
    </row>
    <row r="99">
      <c r="N99" s="1">
        <f>IF(TRIM(D99)="", "", IF(N(L99)-N(M99)&lt;=0, "X", N(L99)-N(M99)))</f>
        <v/>
      </c>
    </row>
    <row r="100">
      <c r="N100" s="1">
        <f>IF(TRIM(D100)="", "", IF(N(L100)-N(M100)&lt;=0, "X", N(L100)-N(M100)))</f>
        <v/>
      </c>
    </row>
    <row r="101">
      <c r="N101" s="1">
        <f>IF(TRIM(D101)="", "", IF(N(L101)-N(M101)&lt;=0, "X", N(L101)-N(M101)))</f>
        <v/>
      </c>
    </row>
    <row r="102">
      <c r="N102" s="1">
        <f>IF(TRIM(D102)="",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2:G1000">
    <cfRule type="expression" priority="272" dxfId="5" stopIfTrue="1">
      <formula>AND(OR(TRIM(G2)="", TRIM(G2)="-"), TRIM(D2)&lt;&gt;"")</formula>
    </cfRule>
  </conditionalFormatting>
  <conditionalFormatting sqref="H2:H1000">
    <cfRule type="expression" priority="273" dxfId="4" stopIfTrue="1">
      <formula>AND(OR(TRIM(H2)="", TRIM(H2)="-"), TRIM(D2)&lt;&gt;"")</formula>
    </cfRule>
  </conditionalFormatting>
  <conditionalFormatting sqref="I2:I1000">
    <cfRule type="expression" priority="274" dxfId="1" stopIfTrue="1">
      <formula>AND(OR(TRIM(I2)="", TRIM(I2)="-"), TRIM(D2)&lt;&gt;"")</formula>
    </cfRule>
  </conditionalFormatting>
  <conditionalFormatting sqref="J2:J1000">
    <cfRule type="expression" priority="275" dxfId="1" stopIfTrue="1">
      <formula>AND(OR(TRIM(J2)="", TRIM(J2)="-"), TRIM(D2)&lt;&gt;"")</formula>
    </cfRule>
  </conditionalFormatting>
  <conditionalFormatting sqref="K2:K1000">
    <cfRule type="expression" priority="276" dxfId="1" stopIfTrue="1">
      <formula>AND(OR(TRIM(K2)="", TRIM(K2)="-"), TRIM(D2)&lt;&gt;"")</formula>
    </cfRule>
  </conditionalFormatting>
  <conditionalFormatting sqref="N2:N1000">
    <cfRule type="cellIs" priority="277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G1" sqref="G1"/>
    </sheetView>
  </sheetViews>
  <sheetFormatPr baseColWidth="8" defaultRowHeight="16.5"/>
  <cols>
    <col width="9.875" bestFit="1" customWidth="1" style="12" min="1" max="1"/>
    <col width="17.875" bestFit="1" customWidth="1" style="12" min="3" max="3"/>
    <col width="14.125" bestFit="1" customWidth="1" style="12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1001</v>
      </c>
      <c r="F2" s="1" t="inlineStr">
        <is>
          <t>DF</t>
        </is>
      </c>
      <c r="G2" s="1" t="inlineStr">
        <is>
          <t>Da1</t>
        </is>
      </c>
      <c r="H2" s="28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1001</v>
      </c>
      <c r="F3" s="1" t="inlineStr">
        <is>
          <t>F</t>
        </is>
      </c>
      <c r="G3" s="1" t="inlineStr">
        <is>
          <t>Fa1</t>
        </is>
      </c>
      <c r="H3" s="28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1001</v>
      </c>
      <c r="F4" s="1" t="inlineStr">
        <is>
          <t>R</t>
        </is>
      </c>
      <c r="G4" s="1" t="inlineStr">
        <is>
          <t>Ra1</t>
        </is>
      </c>
      <c r="H4" s="28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1001</v>
      </c>
      <c r="F5" s="1" t="inlineStr">
        <is>
          <t>RT</t>
        </is>
      </c>
      <c r="G5" s="1" t="inlineStr">
        <is>
          <t>Ca2</t>
        </is>
      </c>
      <c r="H5" s="28">
        <f>E5&amp;"_"&amp;F5</f>
        <v/>
      </c>
    </row>
    <row r="6">
      <c r="A6" s="1" t="n"/>
      <c r="B6" s="1" t="n"/>
      <c r="D6" s="1" t="n"/>
      <c r="E6" s="1" t="n">
        <v>1018</v>
      </c>
      <c r="F6" s="1" t="inlineStr">
        <is>
          <t>DF</t>
        </is>
      </c>
      <c r="G6" s="1" t="inlineStr">
        <is>
          <t>Da1</t>
        </is>
      </c>
      <c r="H6" s="28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DF</t>
        </is>
      </c>
      <c r="G7" s="1" t="inlineStr">
        <is>
          <t>Db1</t>
        </is>
      </c>
      <c r="H7" s="28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DF</t>
        </is>
      </c>
      <c r="G8" s="1" t="inlineStr">
        <is>
          <t>Db2</t>
        </is>
      </c>
      <c r="H8" s="28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F</t>
        </is>
      </c>
      <c r="G9" s="1" t="inlineStr">
        <is>
          <t>Fa1</t>
        </is>
      </c>
      <c r="H9" s="28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R</t>
        </is>
      </c>
      <c r="G10" s="1" t="inlineStr">
        <is>
          <t>Ra1</t>
        </is>
      </c>
      <c r="H10" s="28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RT</t>
        </is>
      </c>
      <c r="G11" s="1" t="inlineStr">
        <is>
          <t>Ca1</t>
        </is>
      </c>
      <c r="H11" s="28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RT</t>
        </is>
      </c>
      <c r="G12" s="1" t="inlineStr">
        <is>
          <t>Ca2</t>
        </is>
      </c>
      <c r="H12" s="28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RT</t>
        </is>
      </c>
      <c r="G13" s="1" t="inlineStr">
        <is>
          <t>Sa1</t>
        </is>
      </c>
      <c r="H13" s="28">
        <f>E13&amp;"_"&amp;F13</f>
        <v/>
      </c>
    </row>
    <row r="14">
      <c r="E14" s="1" t="n">
        <v>309</v>
      </c>
      <c r="F14" s="1" t="inlineStr">
        <is>
          <t>DF</t>
        </is>
      </c>
      <c r="G14" s="1" t="inlineStr">
        <is>
          <t>Da1</t>
        </is>
      </c>
      <c r="H14" s="28">
        <f>E14&amp;"_"&amp;F14</f>
        <v/>
      </c>
    </row>
    <row r="15">
      <c r="E15" s="1" t="n">
        <v>309</v>
      </c>
      <c r="F15" s="1" t="inlineStr">
        <is>
          <t>F</t>
        </is>
      </c>
      <c r="G15" s="1" t="inlineStr">
        <is>
          <t>Fb1</t>
        </is>
      </c>
      <c r="H15" s="28">
        <f>E15&amp;"_"&amp;F15</f>
        <v/>
      </c>
    </row>
    <row r="16">
      <c r="E16" s="1" t="n">
        <v>309</v>
      </c>
      <c r="F16" s="1" t="inlineStr">
        <is>
          <t>R</t>
        </is>
      </c>
      <c r="G16" s="1" t="inlineStr">
        <is>
          <t>Ra1</t>
        </is>
      </c>
      <c r="H16" s="28">
        <f>E16&amp;"_"&amp;F16</f>
        <v/>
      </c>
    </row>
    <row r="17">
      <c r="E17" s="1" t="n">
        <v>309</v>
      </c>
      <c r="F17" s="1" t="inlineStr">
        <is>
          <t>RT</t>
        </is>
      </c>
      <c r="G17" s="1" t="inlineStr">
        <is>
          <t>Ca1</t>
        </is>
      </c>
      <c r="H17" s="28">
        <f>E17&amp;"_"&amp;F17</f>
        <v/>
      </c>
    </row>
    <row r="18">
      <c r="E18" s="1" t="n">
        <v>309</v>
      </c>
      <c r="F18" s="1" t="inlineStr">
        <is>
          <t>RT</t>
        </is>
      </c>
      <c r="G18" s="1" t="inlineStr">
        <is>
          <t>Ca2</t>
        </is>
      </c>
      <c r="H18" s="28">
        <f>E18&amp;"_"&amp;F18</f>
        <v/>
      </c>
    </row>
    <row r="19">
      <c r="E19" s="1" t="n">
        <v>309</v>
      </c>
      <c r="F19" s="1" t="inlineStr">
        <is>
          <t>RT</t>
        </is>
      </c>
      <c r="G19" s="1" t="inlineStr">
        <is>
          <t>Sa1</t>
        </is>
      </c>
      <c r="H19" s="28">
        <f>E19&amp;"_"&amp;F19</f>
        <v/>
      </c>
    </row>
    <row r="20">
      <c r="H20" s="28">
        <f>E20&amp;"_"&amp;F20</f>
        <v/>
      </c>
    </row>
    <row r="21">
      <c r="H21" s="28">
        <f>E21&amp;"_"&amp;F21</f>
        <v/>
      </c>
    </row>
    <row r="22">
      <c r="H22" s="28">
        <f>E22&amp;"_"&amp;F22</f>
        <v/>
      </c>
    </row>
    <row r="23">
      <c r="H23" s="28">
        <f>E23&amp;"_"&amp;F23</f>
        <v/>
      </c>
    </row>
    <row r="24">
      <c r="H24" s="28">
        <f>E24&amp;"_"&amp;F24</f>
        <v/>
      </c>
    </row>
    <row r="25">
      <c r="H25" s="28">
        <f>E25&amp;"_"&amp;F25</f>
        <v/>
      </c>
    </row>
    <row r="26">
      <c r="H26" s="28">
        <f>E26&amp;"_"&amp;F26</f>
        <v/>
      </c>
    </row>
    <row r="27">
      <c r="H27" s="28">
        <f>E27&amp;"_"&amp;F27</f>
        <v/>
      </c>
    </row>
    <row r="28">
      <c r="H28" s="28">
        <f>E28&amp;"_"&amp;F28</f>
        <v/>
      </c>
    </row>
    <row r="29">
      <c r="H29" s="28">
        <f>E29&amp;"_"&amp;F29</f>
        <v/>
      </c>
    </row>
    <row r="30">
      <c r="H30" s="28">
        <f>E30&amp;"_"&amp;F30</f>
        <v/>
      </c>
    </row>
    <row r="31">
      <c r="H31" s="28">
        <f>E31&amp;"_"&amp;F31</f>
        <v/>
      </c>
    </row>
    <row r="32">
      <c r="H32" s="28">
        <f>E32&amp;"_"&amp;F32</f>
        <v/>
      </c>
    </row>
    <row r="33">
      <c r="H33" s="28">
        <f>E33&amp;"_"&amp;F33</f>
        <v/>
      </c>
    </row>
    <row r="34">
      <c r="H34" s="28">
        <f>E34&amp;"_"&amp;F34</f>
        <v/>
      </c>
    </row>
    <row r="35">
      <c r="H35" s="28">
        <f>E35&amp;"_"&amp;F35</f>
        <v/>
      </c>
    </row>
    <row r="36">
      <c r="H36" s="28">
        <f>E36&amp;"_"&amp;F36</f>
        <v/>
      </c>
    </row>
    <row r="37">
      <c r="H37" s="28">
        <f>E37&amp;"_"&amp;F37</f>
        <v/>
      </c>
    </row>
    <row r="38">
      <c r="H38" s="28">
        <f>E38&amp;"_"&amp;F38</f>
        <v/>
      </c>
    </row>
    <row r="39">
      <c r="H39" s="28">
        <f>E39&amp;"_"&amp;F39</f>
        <v/>
      </c>
    </row>
    <row r="40">
      <c r="H40" s="28">
        <f>E40&amp;"_"&amp;F40</f>
        <v/>
      </c>
    </row>
    <row r="41">
      <c r="H41" s="28">
        <f>E41&amp;"_"&amp;F41</f>
        <v/>
      </c>
    </row>
    <row r="42">
      <c r="H42" s="28">
        <f>E42&amp;"_"&amp;F42</f>
        <v/>
      </c>
    </row>
    <row r="43">
      <c r="H43" s="28">
        <f>E43&amp;"_"&amp;F43</f>
        <v/>
      </c>
    </row>
    <row r="44">
      <c r="H44" s="28">
        <f>E44&amp;"_"&amp;F44</f>
        <v/>
      </c>
    </row>
    <row r="45">
      <c r="H45" s="28">
        <f>E45&amp;"_"&amp;F45</f>
        <v/>
      </c>
    </row>
    <row r="46">
      <c r="H46" s="28">
        <f>E46&amp;"_"&amp;F46</f>
        <v/>
      </c>
    </row>
    <row r="47">
      <c r="H47" s="28">
        <f>E47&amp;"_"&amp;F47</f>
        <v/>
      </c>
    </row>
    <row r="48">
      <c r="H48" s="28">
        <f>E48&amp;"_"&amp;F48</f>
        <v/>
      </c>
    </row>
    <row r="49">
      <c r="H49" s="28">
        <f>E49&amp;"_"&amp;F49</f>
        <v/>
      </c>
    </row>
    <row r="50">
      <c r="H50" s="28">
        <f>E50&amp;"_"&amp;F50</f>
        <v/>
      </c>
    </row>
    <row r="51">
      <c r="H51" s="28">
        <f>E51&amp;"_"&amp;F51</f>
        <v/>
      </c>
    </row>
    <row r="52">
      <c r="H52" s="28">
        <f>E52&amp;"_"&amp;F52</f>
        <v/>
      </c>
    </row>
    <row r="53">
      <c r="H53" s="28">
        <f>E53&amp;"_"&amp;F53</f>
        <v/>
      </c>
    </row>
    <row r="54">
      <c r="H54" s="28">
        <f>E54&amp;"_"&amp;F54</f>
        <v/>
      </c>
    </row>
    <row r="55">
      <c r="H55" s="28">
        <f>E55&amp;"_"&amp;F55</f>
        <v/>
      </c>
    </row>
    <row r="56">
      <c r="H56" s="28">
        <f>E56&amp;"_"&amp;F56</f>
        <v/>
      </c>
    </row>
    <row r="57">
      <c r="H57" s="28">
        <f>E57&amp;"_"&amp;F57</f>
        <v/>
      </c>
    </row>
    <row r="58">
      <c r="H58" s="28">
        <f>E58&amp;"_"&amp;F58</f>
        <v/>
      </c>
    </row>
    <row r="59">
      <c r="H59" s="28">
        <f>E59&amp;"_"&amp;F59</f>
        <v/>
      </c>
    </row>
    <row r="60">
      <c r="H60" s="28">
        <f>E60&amp;"_"&amp;F60</f>
        <v/>
      </c>
    </row>
    <row r="61">
      <c r="H61" s="28">
        <f>E61&amp;"_"&amp;F61</f>
        <v/>
      </c>
    </row>
    <row r="62">
      <c r="H62" s="28">
        <f>E62&amp;"_"&amp;F62</f>
        <v/>
      </c>
    </row>
    <row r="63">
      <c r="H63" s="28">
        <f>E63&amp;"_"&amp;F63</f>
        <v/>
      </c>
    </row>
    <row r="64">
      <c r="H64" s="28">
        <f>E64&amp;"_"&amp;F64</f>
        <v/>
      </c>
    </row>
    <row r="65">
      <c r="H65" s="28">
        <f>E65&amp;"_"&amp;F65</f>
        <v/>
      </c>
    </row>
    <row r="66">
      <c r="H66" s="28">
        <f>E66&amp;"_"&amp;F66</f>
        <v/>
      </c>
    </row>
    <row r="67">
      <c r="H67" s="28">
        <f>E67&amp;"_"&amp;F67</f>
        <v/>
      </c>
    </row>
    <row r="68">
      <c r="H68" s="28">
        <f>E68&amp;"_"&amp;F68</f>
        <v/>
      </c>
    </row>
    <row r="69">
      <c r="H69" s="28">
        <f>E69&amp;"_"&amp;F69</f>
        <v/>
      </c>
    </row>
    <row r="70">
      <c r="H70" s="28">
        <f>E70&amp;"_"&amp;F70</f>
        <v/>
      </c>
    </row>
    <row r="71">
      <c r="H71" s="28">
        <f>E71&amp;"_"&amp;F71</f>
        <v/>
      </c>
    </row>
    <row r="72">
      <c r="H72" s="28">
        <f>E72&amp;"_"&amp;F72</f>
        <v/>
      </c>
    </row>
    <row r="73">
      <c r="H73" s="28">
        <f>E73&amp;"_"&amp;F73</f>
        <v/>
      </c>
    </row>
    <row r="74">
      <c r="H74" s="28">
        <f>E74&amp;"_"&amp;F74</f>
        <v/>
      </c>
    </row>
    <row r="75">
      <c r="H75" s="28">
        <f>E75&amp;"_"&amp;F75</f>
        <v/>
      </c>
    </row>
    <row r="76">
      <c r="H76" s="28">
        <f>E76&amp;"_"&amp;F76</f>
        <v/>
      </c>
    </row>
    <row r="77">
      <c r="H77" s="28">
        <f>E77&amp;"_"&amp;F77</f>
        <v/>
      </c>
    </row>
    <row r="78">
      <c r="H78" s="28">
        <f>E78&amp;"_"&amp;F78</f>
        <v/>
      </c>
    </row>
    <row r="79">
      <c r="H79" s="28">
        <f>E79&amp;"_"&amp;F79</f>
        <v/>
      </c>
    </row>
    <row r="80">
      <c r="H80" s="28">
        <f>E80&amp;"_"&amp;F80</f>
        <v/>
      </c>
    </row>
    <row r="81">
      <c r="H81" s="28">
        <f>E81&amp;"_"&amp;F81</f>
        <v/>
      </c>
    </row>
    <row r="82">
      <c r="H82" s="28">
        <f>E82&amp;"_"&amp;F82</f>
        <v/>
      </c>
    </row>
    <row r="83">
      <c r="H83" s="28">
        <f>E83&amp;"_"&amp;F83</f>
        <v/>
      </c>
    </row>
    <row r="84">
      <c r="H84" s="28">
        <f>E84&amp;"_"&amp;F84</f>
        <v/>
      </c>
    </row>
    <row r="85">
      <c r="H85" s="28">
        <f>E85&amp;"_"&amp;F85</f>
        <v/>
      </c>
    </row>
    <row r="86">
      <c r="H86" s="28">
        <f>E86&amp;"_"&amp;F86</f>
        <v/>
      </c>
    </row>
    <row r="87">
      <c r="H87" s="28">
        <f>E87&amp;"_"&amp;F87</f>
        <v/>
      </c>
    </row>
    <row r="88">
      <c r="H88" s="28">
        <f>E88&amp;"_"&amp;F88</f>
        <v/>
      </c>
    </row>
    <row r="89">
      <c r="H89" s="28">
        <f>E89&amp;"_"&amp;F89</f>
        <v/>
      </c>
    </row>
    <row r="90">
      <c r="H90" s="28">
        <f>E90&amp;"_"&amp;F90</f>
        <v/>
      </c>
    </row>
    <row r="91">
      <c r="H91" s="28">
        <f>E91&amp;"_"&amp;F91</f>
        <v/>
      </c>
    </row>
    <row r="92">
      <c r="H92" s="28">
        <f>E92&amp;"_"&amp;F92</f>
        <v/>
      </c>
    </row>
    <row r="93">
      <c r="H93" s="28">
        <f>E93&amp;"_"&amp;F93</f>
        <v/>
      </c>
    </row>
    <row r="94">
      <c r="H94" s="28">
        <f>E94&amp;"_"&amp;F94</f>
        <v/>
      </c>
    </row>
    <row r="95">
      <c r="H95" s="28">
        <f>E95&amp;"_"&amp;F95</f>
        <v/>
      </c>
    </row>
    <row r="96">
      <c r="H96" s="28">
        <f>E96&amp;"_"&amp;F96</f>
        <v/>
      </c>
    </row>
    <row r="97">
      <c r="H97" s="28">
        <f>E97&amp;"_"&amp;F97</f>
        <v/>
      </c>
    </row>
    <row r="98">
      <c r="H98" s="28">
        <f>E98&amp;"_"&amp;F98</f>
        <v/>
      </c>
    </row>
    <row r="99">
      <c r="H99" s="28">
        <f>E99&amp;"_"&amp;F99</f>
        <v/>
      </c>
    </row>
    <row r="100">
      <c r="H100" s="28">
        <f>E100&amp;"_"&amp;F100</f>
        <v/>
      </c>
    </row>
    <row r="101">
      <c r="H101" s="28">
        <f>E101&amp;"_"&amp;F101</f>
        <v/>
      </c>
    </row>
    <row r="102">
      <c r="H102" s="28">
        <f>E102&amp;"_"&amp;F102</f>
        <v/>
      </c>
    </row>
    <row r="103">
      <c r="H103" s="28">
        <f>E103&amp;"_"&amp;F103</f>
        <v/>
      </c>
    </row>
    <row r="104">
      <c r="H104" s="28">
        <f>E104&amp;"_"&amp;F104</f>
        <v/>
      </c>
    </row>
    <row r="105">
      <c r="H105" s="28">
        <f>E105&amp;"_"&amp;F105</f>
        <v/>
      </c>
    </row>
    <row r="106">
      <c r="H106" s="28">
        <f>E106&amp;"_"&amp;F106</f>
        <v/>
      </c>
    </row>
    <row r="107">
      <c r="H107" s="28">
        <f>E107&amp;"_"&amp;F107</f>
        <v/>
      </c>
    </row>
    <row r="108">
      <c r="H108" s="28">
        <f>E108&amp;"_"&amp;F108</f>
        <v/>
      </c>
    </row>
    <row r="109">
      <c r="H109" s="28">
        <f>E109&amp;"_"&amp;F109</f>
        <v/>
      </c>
    </row>
    <row r="110">
      <c r="H110" s="28">
        <f>E110&amp;"_"&amp;F110</f>
        <v/>
      </c>
    </row>
    <row r="111">
      <c r="H111" s="28">
        <f>E111&amp;"_"&amp;F111</f>
        <v/>
      </c>
    </row>
    <row r="112">
      <c r="H112" s="28">
        <f>E112&amp;"_"&amp;F112</f>
        <v/>
      </c>
    </row>
    <row r="113">
      <c r="H113" s="28">
        <f>E113&amp;"_"&amp;F113</f>
        <v/>
      </c>
    </row>
    <row r="114">
      <c r="H114" s="28">
        <f>E114&amp;"_"&amp;F114</f>
        <v/>
      </c>
    </row>
    <row r="115">
      <c r="H115" s="28">
        <f>E115&amp;"_"&amp;F115</f>
        <v/>
      </c>
    </row>
    <row r="116">
      <c r="H116" s="28">
        <f>E116&amp;"_"&amp;F116</f>
        <v/>
      </c>
    </row>
    <row r="117">
      <c r="H117" s="28">
        <f>E117&amp;"_"&amp;F117</f>
        <v/>
      </c>
    </row>
    <row r="118">
      <c r="H118" s="28">
        <f>E118&amp;"_"&amp;F118</f>
        <v/>
      </c>
    </row>
    <row r="119">
      <c r="H119" s="28">
        <f>E119&amp;"_"&amp;F119</f>
        <v/>
      </c>
    </row>
    <row r="120">
      <c r="H120" s="28">
        <f>E120&amp;"_"&amp;F120</f>
        <v/>
      </c>
    </row>
    <row r="121">
      <c r="H121" s="28">
        <f>E121&amp;"_"&amp;F121</f>
        <v/>
      </c>
    </row>
    <row r="122">
      <c r="H122" s="28">
        <f>E122&amp;"_"&amp;F122</f>
        <v/>
      </c>
    </row>
    <row r="123">
      <c r="H123" s="28">
        <f>E123&amp;"_"&amp;F123</f>
        <v/>
      </c>
    </row>
    <row r="124">
      <c r="H124" s="28">
        <f>E124&amp;"_"&amp;F124</f>
        <v/>
      </c>
    </row>
    <row r="125">
      <c r="H125" s="28">
        <f>E125&amp;"_"&amp;F125</f>
        <v/>
      </c>
    </row>
    <row r="126">
      <c r="H126" s="28">
        <f>E126&amp;"_"&amp;F126</f>
        <v/>
      </c>
    </row>
    <row r="127">
      <c r="H127" s="28">
        <f>E127&amp;"_"&amp;F127</f>
        <v/>
      </c>
    </row>
    <row r="128">
      <c r="H128" s="28">
        <f>E128&amp;"_"&amp;F128</f>
        <v/>
      </c>
    </row>
    <row r="129">
      <c r="H129" s="28">
        <f>E129&amp;"_"&amp;F129</f>
        <v/>
      </c>
    </row>
    <row r="130">
      <c r="H130" s="28">
        <f>E130&amp;"_"&amp;F130</f>
        <v/>
      </c>
    </row>
    <row r="131">
      <c r="H131" s="28">
        <f>E131&amp;"_"&amp;F131</f>
        <v/>
      </c>
    </row>
    <row r="132">
      <c r="H132" s="28">
        <f>E132&amp;"_"&amp;F132</f>
        <v/>
      </c>
    </row>
    <row r="133">
      <c r="H133" s="28">
        <f>E133&amp;"_"&amp;F133</f>
        <v/>
      </c>
    </row>
    <row r="134">
      <c r="H134" s="28">
        <f>E134&amp;"_"&amp;F134</f>
        <v/>
      </c>
    </row>
    <row r="135">
      <c r="H135" s="28">
        <f>E135&amp;"_"&amp;F135</f>
        <v/>
      </c>
    </row>
    <row r="136">
      <c r="H136" s="28">
        <f>E136&amp;"_"&amp;F136</f>
        <v/>
      </c>
    </row>
    <row r="137">
      <c r="H137" s="28">
        <f>E137&amp;"_"&amp;F137</f>
        <v/>
      </c>
    </row>
    <row r="138">
      <c r="H138" s="28">
        <f>E138&amp;"_"&amp;F138</f>
        <v/>
      </c>
    </row>
    <row r="139">
      <c r="H139" s="28">
        <f>E139&amp;"_"&amp;F139</f>
        <v/>
      </c>
    </row>
    <row r="140">
      <c r="H140" s="28">
        <f>E140&amp;"_"&amp;F140</f>
        <v/>
      </c>
    </row>
    <row r="141">
      <c r="H141" s="28">
        <f>E141&amp;"_"&amp;F141</f>
        <v/>
      </c>
    </row>
    <row r="142">
      <c r="H142" s="28">
        <f>E142&amp;"_"&amp;F142</f>
        <v/>
      </c>
    </row>
    <row r="143">
      <c r="H143" s="28">
        <f>E143&amp;"_"&amp;F143</f>
        <v/>
      </c>
    </row>
    <row r="144">
      <c r="H144" s="28">
        <f>E144&amp;"_"&amp;F144</f>
        <v/>
      </c>
    </row>
    <row r="145">
      <c r="H145" s="28">
        <f>E145&amp;"_"&amp;F145</f>
        <v/>
      </c>
    </row>
    <row r="146">
      <c r="H146" s="28">
        <f>E146&amp;"_"&amp;F146</f>
        <v/>
      </c>
    </row>
    <row r="147">
      <c r="H147" s="28">
        <f>E147&amp;"_"&amp;F147</f>
        <v/>
      </c>
    </row>
    <row r="148">
      <c r="H148" s="28">
        <f>E148&amp;"_"&amp;F148</f>
        <v/>
      </c>
    </row>
    <row r="149">
      <c r="H149" s="28">
        <f>E149&amp;"_"&amp;F149</f>
        <v/>
      </c>
    </row>
    <row r="150">
      <c r="H150" s="28">
        <f>E150&amp;"_"&amp;F150</f>
        <v/>
      </c>
    </row>
    <row r="151">
      <c r="H151" s="28">
        <f>E151&amp;"_"&amp;F151</f>
        <v/>
      </c>
    </row>
    <row r="152">
      <c r="H152" s="28">
        <f>E152&amp;"_"&amp;F152</f>
        <v/>
      </c>
    </row>
    <row r="153">
      <c r="H153" s="28">
        <f>E153&amp;"_"&amp;F153</f>
        <v/>
      </c>
    </row>
    <row r="154">
      <c r="H154" s="28">
        <f>E154&amp;"_"&amp;F154</f>
        <v/>
      </c>
    </row>
    <row r="155">
      <c r="H155" s="28">
        <f>E155&amp;"_"&amp;F155</f>
        <v/>
      </c>
    </row>
    <row r="156">
      <c r="H156" s="28">
        <f>E156&amp;"_"&amp;F156</f>
        <v/>
      </c>
    </row>
    <row r="157">
      <c r="H157" s="28">
        <f>E157&amp;"_"&amp;F157</f>
        <v/>
      </c>
    </row>
    <row r="158">
      <c r="H158" s="28">
        <f>E158&amp;"_"&amp;F158</f>
        <v/>
      </c>
    </row>
    <row r="159">
      <c r="H159" s="28">
        <f>E159&amp;"_"&amp;F159</f>
        <v/>
      </c>
    </row>
    <row r="160">
      <c r="H160" s="28">
        <f>E160&amp;"_"&amp;F160</f>
        <v/>
      </c>
    </row>
    <row r="161">
      <c r="H161" s="28">
        <f>E161&amp;"_"&amp;F161</f>
        <v/>
      </c>
    </row>
    <row r="162">
      <c r="H162" s="28">
        <f>E162&amp;"_"&amp;F162</f>
        <v/>
      </c>
    </row>
    <row r="163">
      <c r="H163" s="28">
        <f>E163&amp;"_"&amp;F163</f>
        <v/>
      </c>
    </row>
    <row r="164">
      <c r="H164" s="28">
        <f>E164&amp;"_"&amp;F164</f>
        <v/>
      </c>
    </row>
    <row r="165">
      <c r="H165" s="28">
        <f>E165&amp;"_"&amp;F165</f>
        <v/>
      </c>
    </row>
    <row r="166">
      <c r="H166" s="28">
        <f>E166&amp;"_"&amp;F166</f>
        <v/>
      </c>
    </row>
    <row r="167">
      <c r="H167" s="28">
        <f>E167&amp;"_"&amp;F167</f>
        <v/>
      </c>
    </row>
    <row r="168">
      <c r="H168" s="28">
        <f>E168&amp;"_"&amp;F168</f>
        <v/>
      </c>
    </row>
    <row r="169">
      <c r="H169" s="28">
        <f>E169&amp;"_"&amp;F169</f>
        <v/>
      </c>
    </row>
    <row r="170">
      <c r="H170" s="28">
        <f>E170&amp;"_"&amp;F170</f>
        <v/>
      </c>
    </row>
    <row r="171">
      <c r="H171" s="28">
        <f>E171&amp;"_"&amp;F171</f>
        <v/>
      </c>
    </row>
    <row r="172">
      <c r="H172" s="28">
        <f>E172&amp;"_"&amp;F172</f>
        <v/>
      </c>
    </row>
    <row r="173">
      <c r="H173" s="28">
        <f>E173&amp;"_"&amp;F173</f>
        <v/>
      </c>
    </row>
    <row r="174">
      <c r="H174" s="28">
        <f>E174&amp;"_"&amp;F174</f>
        <v/>
      </c>
    </row>
    <row r="175">
      <c r="H175" s="28">
        <f>E175&amp;"_"&amp;F175</f>
        <v/>
      </c>
    </row>
    <row r="176">
      <c r="H176" s="28">
        <f>E176&amp;"_"&amp;F176</f>
        <v/>
      </c>
    </row>
    <row r="177">
      <c r="H177" s="28">
        <f>E177&amp;"_"&amp;F177</f>
        <v/>
      </c>
    </row>
    <row r="178">
      <c r="H178" s="28">
        <f>E178&amp;"_"&amp;F178</f>
        <v/>
      </c>
    </row>
    <row r="179">
      <c r="H179" s="28">
        <f>E179&amp;"_"&amp;F179</f>
        <v/>
      </c>
    </row>
    <row r="180">
      <c r="H180" s="28">
        <f>E180&amp;"_"&amp;F180</f>
        <v/>
      </c>
    </row>
    <row r="181">
      <c r="H181" s="28">
        <f>E181&amp;"_"&amp;F181</f>
        <v/>
      </c>
    </row>
    <row r="182">
      <c r="H182" s="28">
        <f>E182&amp;"_"&amp;F182</f>
        <v/>
      </c>
    </row>
    <row r="183">
      <c r="H183" s="28">
        <f>E183&amp;"_"&amp;F183</f>
        <v/>
      </c>
    </row>
    <row r="184">
      <c r="H184" s="28">
        <f>E184&amp;"_"&amp;F184</f>
        <v/>
      </c>
    </row>
    <row r="185">
      <c r="H185" s="28">
        <f>E185&amp;"_"&amp;F185</f>
        <v/>
      </c>
    </row>
    <row r="186">
      <c r="H186" s="28">
        <f>E186&amp;"_"&amp;F186</f>
        <v/>
      </c>
    </row>
    <row r="187">
      <c r="H187" s="28">
        <f>E187&amp;"_"&amp;F187</f>
        <v/>
      </c>
    </row>
    <row r="188">
      <c r="H188" s="28">
        <f>E188&amp;"_"&amp;F188</f>
        <v/>
      </c>
    </row>
    <row r="189">
      <c r="H189" s="28">
        <f>E189&amp;"_"&amp;F189</f>
        <v/>
      </c>
    </row>
    <row r="190">
      <c r="H190" s="28">
        <f>E190&amp;"_"&amp;F190</f>
        <v/>
      </c>
    </row>
    <row r="191">
      <c r="H191" s="28">
        <f>E191&amp;"_"&amp;F191</f>
        <v/>
      </c>
    </row>
    <row r="192">
      <c r="H192" s="28">
        <f>E192&amp;"_"&amp;F192</f>
        <v/>
      </c>
    </row>
    <row r="193">
      <c r="H193" s="28">
        <f>E193&amp;"_"&amp;F193</f>
        <v/>
      </c>
    </row>
    <row r="194">
      <c r="H194" s="28">
        <f>E194&amp;"_"&amp;F194</f>
        <v/>
      </c>
    </row>
    <row r="195">
      <c r="H195" s="28">
        <f>E195&amp;"_"&amp;F195</f>
        <v/>
      </c>
    </row>
    <row r="196">
      <c r="H196" s="28">
        <f>E196&amp;"_"&amp;F196</f>
        <v/>
      </c>
    </row>
    <row r="197">
      <c r="H197" s="28">
        <f>E197&amp;"_"&amp;F197</f>
        <v/>
      </c>
    </row>
    <row r="198">
      <c r="H198" s="28">
        <f>E198&amp;"_"&amp;F198</f>
        <v/>
      </c>
    </row>
    <row r="199">
      <c r="H199" s="28">
        <f>E199&amp;"_"&amp;F199</f>
        <v/>
      </c>
    </row>
    <row r="200">
      <c r="H200" s="28">
        <f>E200&amp;"_"&amp;F200</f>
        <v/>
      </c>
    </row>
    <row r="201">
      <c r="H201" s="28">
        <f>E201&amp;"_"&amp;F201</f>
        <v/>
      </c>
    </row>
    <row r="202">
      <c r="H202" s="28">
        <f>E202&amp;"_"&amp;F202</f>
        <v/>
      </c>
    </row>
    <row r="203">
      <c r="H203" s="28">
        <f>E203&amp;"_"&amp;F203</f>
        <v/>
      </c>
    </row>
    <row r="204">
      <c r="H204" s="28">
        <f>E204&amp;"_"&amp;F204</f>
        <v/>
      </c>
    </row>
    <row r="205">
      <c r="H205" s="28">
        <f>E205&amp;"_"&amp;F205</f>
        <v/>
      </c>
    </row>
    <row r="206">
      <c r="H206" s="28">
        <f>E206&amp;"_"&amp;F206</f>
        <v/>
      </c>
    </row>
    <row r="207">
      <c r="H207" s="28">
        <f>E207&amp;"_"&amp;F207</f>
        <v/>
      </c>
    </row>
    <row r="208">
      <c r="H208" s="28">
        <f>E208&amp;"_"&amp;F208</f>
        <v/>
      </c>
    </row>
    <row r="209">
      <c r="H209" s="28">
        <f>E209&amp;"_"&amp;F209</f>
        <v/>
      </c>
    </row>
    <row r="210">
      <c r="H210" s="28">
        <f>E210&amp;"_"&amp;F210</f>
        <v/>
      </c>
    </row>
    <row r="211">
      <c r="H211" s="28">
        <f>E211&amp;"_"&amp;F211</f>
        <v/>
      </c>
    </row>
    <row r="212">
      <c r="H212" s="28">
        <f>E212&amp;"_"&amp;F212</f>
        <v/>
      </c>
    </row>
    <row r="213">
      <c r="H213" s="28">
        <f>E213&amp;"_"&amp;F213</f>
        <v/>
      </c>
    </row>
    <row r="214">
      <c r="H214" s="28">
        <f>E214&amp;"_"&amp;F214</f>
        <v/>
      </c>
    </row>
    <row r="215">
      <c r="H215" s="28">
        <f>E215&amp;"_"&amp;F215</f>
        <v/>
      </c>
    </row>
    <row r="216">
      <c r="H216" s="28">
        <f>E216&amp;"_"&amp;F216</f>
        <v/>
      </c>
    </row>
    <row r="217">
      <c r="H217" s="28">
        <f>E217&amp;"_"&amp;F217</f>
        <v/>
      </c>
    </row>
    <row r="218">
      <c r="H218" s="28">
        <f>E218&amp;"_"&amp;F218</f>
        <v/>
      </c>
    </row>
    <row r="219">
      <c r="H219" s="28">
        <f>E219&amp;"_"&amp;F219</f>
        <v/>
      </c>
    </row>
    <row r="220">
      <c r="H220" s="28">
        <f>E220&amp;"_"&amp;F220</f>
        <v/>
      </c>
    </row>
    <row r="221">
      <c r="H221" s="28">
        <f>E221&amp;"_"&amp;F221</f>
        <v/>
      </c>
    </row>
    <row r="222">
      <c r="H222" s="28">
        <f>E222&amp;"_"&amp;F222</f>
        <v/>
      </c>
    </row>
    <row r="223">
      <c r="H223" s="28">
        <f>E223&amp;"_"&amp;F223</f>
        <v/>
      </c>
    </row>
    <row r="224">
      <c r="H224" s="28">
        <f>E224&amp;"_"&amp;F224</f>
        <v/>
      </c>
    </row>
    <row r="225">
      <c r="H225" s="28">
        <f>E225&amp;"_"&amp;F225</f>
        <v/>
      </c>
    </row>
    <row r="226">
      <c r="H226" s="28">
        <f>E226&amp;"_"&amp;F226</f>
        <v/>
      </c>
    </row>
    <row r="227">
      <c r="H227" s="28">
        <f>E227&amp;"_"&amp;F227</f>
        <v/>
      </c>
    </row>
    <row r="228">
      <c r="H228" s="28">
        <f>E228&amp;"_"&amp;F228</f>
        <v/>
      </c>
    </row>
    <row r="229">
      <c r="H229" s="28">
        <f>E229&amp;"_"&amp;F229</f>
        <v/>
      </c>
    </row>
    <row r="230">
      <c r="H230" s="28">
        <f>E230&amp;"_"&amp;F230</f>
        <v/>
      </c>
    </row>
    <row r="231">
      <c r="H231" s="28">
        <f>E231&amp;"_"&amp;F231</f>
        <v/>
      </c>
    </row>
    <row r="232">
      <c r="H232" s="28">
        <f>E232&amp;"_"&amp;F232</f>
        <v/>
      </c>
    </row>
    <row r="233">
      <c r="H233" s="28">
        <f>E233&amp;"_"&amp;F233</f>
        <v/>
      </c>
    </row>
    <row r="234">
      <c r="H234" s="28">
        <f>E234&amp;"_"&amp;F234</f>
        <v/>
      </c>
    </row>
    <row r="235">
      <c r="H235" s="28">
        <f>E235&amp;"_"&amp;F235</f>
        <v/>
      </c>
    </row>
    <row r="236">
      <c r="H236" s="28">
        <f>E236&amp;"_"&amp;F236</f>
        <v/>
      </c>
    </row>
    <row r="237">
      <c r="H237" s="28">
        <f>E237&amp;"_"&amp;F237</f>
        <v/>
      </c>
    </row>
    <row r="238">
      <c r="H238" s="28">
        <f>E238&amp;"_"&amp;F238</f>
        <v/>
      </c>
    </row>
    <row r="239">
      <c r="H239" s="28">
        <f>E239&amp;"_"&amp;F239</f>
        <v/>
      </c>
    </row>
    <row r="240">
      <c r="H240" s="28">
        <f>E240&amp;"_"&amp;F240</f>
        <v/>
      </c>
    </row>
    <row r="241">
      <c r="H241" s="28">
        <f>E241&amp;"_"&amp;F241</f>
        <v/>
      </c>
    </row>
    <row r="242">
      <c r="H242" s="28">
        <f>E242&amp;"_"&amp;F242</f>
        <v/>
      </c>
    </row>
    <row r="243">
      <c r="H243" s="28">
        <f>E243&amp;"_"&amp;F243</f>
        <v/>
      </c>
    </row>
    <row r="244">
      <c r="H244" s="28">
        <f>E244&amp;"_"&amp;F244</f>
        <v/>
      </c>
    </row>
    <row r="245">
      <c r="H245" s="28">
        <f>E245&amp;"_"&amp;F245</f>
        <v/>
      </c>
    </row>
    <row r="246">
      <c r="H246" s="28">
        <f>E246&amp;"_"&amp;F246</f>
        <v/>
      </c>
    </row>
    <row r="247">
      <c r="H247" s="28">
        <f>E247&amp;"_"&amp;F247</f>
        <v/>
      </c>
    </row>
    <row r="248">
      <c r="H248" s="28">
        <f>E248&amp;"_"&amp;F248</f>
        <v/>
      </c>
    </row>
    <row r="249">
      <c r="H249" s="28">
        <f>E249&amp;"_"&amp;F249</f>
        <v/>
      </c>
    </row>
    <row r="250">
      <c r="H250" s="28">
        <f>E250&amp;"_"&amp;F250</f>
        <v/>
      </c>
    </row>
    <row r="251">
      <c r="H251" s="28">
        <f>E251&amp;"_"&amp;F251</f>
        <v/>
      </c>
    </row>
    <row r="252">
      <c r="H252" s="28">
        <f>E252&amp;"_"&amp;F252</f>
        <v/>
      </c>
    </row>
    <row r="253">
      <c r="H253" s="28">
        <f>E253&amp;"_"&amp;F253</f>
        <v/>
      </c>
    </row>
    <row r="254">
      <c r="H254" s="28">
        <f>E254&amp;"_"&amp;F254</f>
        <v/>
      </c>
    </row>
    <row r="255">
      <c r="H255" s="28">
        <f>E255&amp;"_"&amp;F255</f>
        <v/>
      </c>
    </row>
    <row r="256">
      <c r="H256" s="28">
        <f>E256&amp;"_"&amp;F256</f>
        <v/>
      </c>
    </row>
    <row r="257">
      <c r="H257" s="28">
        <f>E257&amp;"_"&amp;F257</f>
        <v/>
      </c>
    </row>
    <row r="258">
      <c r="H258" s="28">
        <f>E258&amp;"_"&amp;F258</f>
        <v/>
      </c>
    </row>
    <row r="259">
      <c r="H259" s="28">
        <f>E259&amp;"_"&amp;F259</f>
        <v/>
      </c>
    </row>
    <row r="260">
      <c r="H260" s="28">
        <f>E260&amp;"_"&amp;F260</f>
        <v/>
      </c>
    </row>
    <row r="261">
      <c r="H261" s="28">
        <f>E261&amp;"_"&amp;F261</f>
        <v/>
      </c>
    </row>
    <row r="262">
      <c r="H262" s="28">
        <f>E262&amp;"_"&amp;F262</f>
        <v/>
      </c>
    </row>
    <row r="263">
      <c r="H263" s="28">
        <f>E263&amp;"_"&amp;F263</f>
        <v/>
      </c>
    </row>
    <row r="264">
      <c r="H264" s="28">
        <f>E264&amp;"_"&amp;F264</f>
        <v/>
      </c>
    </row>
    <row r="265">
      <c r="H265" s="28">
        <f>E265&amp;"_"&amp;F265</f>
        <v/>
      </c>
    </row>
    <row r="266">
      <c r="H266" s="28">
        <f>E266&amp;"_"&amp;F266</f>
        <v/>
      </c>
    </row>
    <row r="267">
      <c r="H267" s="28">
        <f>E267&amp;"_"&amp;F267</f>
        <v/>
      </c>
    </row>
    <row r="268">
      <c r="H268" s="28">
        <f>E268&amp;"_"&amp;F268</f>
        <v/>
      </c>
    </row>
    <row r="269">
      <c r="H269" s="28">
        <f>E269&amp;"_"&amp;F269</f>
        <v/>
      </c>
    </row>
    <row r="270">
      <c r="H270" s="28">
        <f>E270&amp;"_"&amp;F270</f>
        <v/>
      </c>
    </row>
    <row r="271">
      <c r="H271" s="28">
        <f>E271&amp;"_"&amp;F271</f>
        <v/>
      </c>
    </row>
    <row r="272">
      <c r="H272" s="28">
        <f>E272&amp;"_"&amp;F272</f>
        <v/>
      </c>
    </row>
    <row r="273">
      <c r="H273" s="28">
        <f>E273&amp;"_"&amp;F273</f>
        <v/>
      </c>
    </row>
    <row r="274">
      <c r="H274" s="28">
        <f>E274&amp;"_"&amp;F274</f>
        <v/>
      </c>
    </row>
    <row r="275">
      <c r="H275" s="28">
        <f>E275&amp;"_"&amp;F275</f>
        <v/>
      </c>
    </row>
    <row r="276">
      <c r="H276" s="28">
        <f>E276&amp;"_"&amp;F276</f>
        <v/>
      </c>
    </row>
    <row r="277">
      <c r="H277" s="28">
        <f>E277&amp;"_"&amp;F277</f>
        <v/>
      </c>
    </row>
    <row r="278">
      <c r="H278" s="28">
        <f>E278&amp;"_"&amp;F278</f>
        <v/>
      </c>
    </row>
    <row r="279">
      <c r="H279" s="28">
        <f>E279&amp;"_"&amp;F279</f>
        <v/>
      </c>
    </row>
    <row r="280">
      <c r="H280" s="28">
        <f>E280&amp;"_"&amp;F280</f>
        <v/>
      </c>
    </row>
    <row r="281">
      <c r="H281" s="28">
        <f>E281&amp;"_"&amp;F281</f>
        <v/>
      </c>
    </row>
    <row r="282">
      <c r="H282" s="28">
        <f>E282&amp;"_"&amp;F282</f>
        <v/>
      </c>
    </row>
    <row r="283">
      <c r="H283" s="28">
        <f>E283&amp;"_"&amp;F283</f>
        <v/>
      </c>
    </row>
    <row r="284">
      <c r="H284" s="28">
        <f>E284&amp;"_"&amp;F284</f>
        <v/>
      </c>
    </row>
    <row r="285">
      <c r="H285" s="28">
        <f>E285&amp;"_"&amp;F285</f>
        <v/>
      </c>
    </row>
    <row r="286">
      <c r="H286" s="28">
        <f>E286&amp;"_"&amp;F286</f>
        <v/>
      </c>
    </row>
    <row r="287">
      <c r="H287" s="28">
        <f>E287&amp;"_"&amp;F287</f>
        <v/>
      </c>
    </row>
    <row r="288">
      <c r="H288" s="28">
        <f>E288&amp;"_"&amp;F288</f>
        <v/>
      </c>
    </row>
    <row r="289">
      <c r="H289" s="28">
        <f>E289&amp;"_"&amp;F289</f>
        <v/>
      </c>
    </row>
    <row r="290">
      <c r="H290" s="28">
        <f>E290&amp;"_"&amp;F290</f>
        <v/>
      </c>
    </row>
    <row r="291">
      <c r="H291" s="28">
        <f>E291&amp;"_"&amp;F291</f>
        <v/>
      </c>
    </row>
    <row r="292">
      <c r="H292" s="28">
        <f>E292&amp;"_"&amp;F292</f>
        <v/>
      </c>
    </row>
    <row r="293">
      <c r="H293" s="28">
        <f>E293&amp;"_"&amp;F293</f>
        <v/>
      </c>
    </row>
    <row r="294">
      <c r="H294" s="28">
        <f>E294&amp;"_"&amp;F294</f>
        <v/>
      </c>
    </row>
    <row r="295">
      <c r="H295" s="28">
        <f>E295&amp;"_"&amp;F295</f>
        <v/>
      </c>
    </row>
    <row r="296">
      <c r="H296" s="28">
        <f>E296&amp;"_"&amp;F296</f>
        <v/>
      </c>
    </row>
    <row r="297">
      <c r="H297" s="28">
        <f>E297&amp;"_"&amp;F297</f>
        <v/>
      </c>
    </row>
    <row r="298">
      <c r="H298" s="28">
        <f>E298&amp;"_"&amp;F298</f>
        <v/>
      </c>
    </row>
    <row r="299">
      <c r="H299" s="28">
        <f>E299&amp;"_"&amp;F299</f>
        <v/>
      </c>
    </row>
    <row r="300">
      <c r="H300" s="28">
        <f>E300&amp;"_"&amp;F300</f>
        <v/>
      </c>
    </row>
    <row r="301">
      <c r="H301" s="28">
        <f>E301&amp;"_"&amp;F301</f>
        <v/>
      </c>
    </row>
    <row r="302">
      <c r="H302" s="28">
        <f>E302&amp;"_"&amp;F302</f>
        <v/>
      </c>
    </row>
    <row r="303">
      <c r="H303" s="28">
        <f>E303&amp;"_"&amp;F303</f>
        <v/>
      </c>
    </row>
    <row r="304">
      <c r="H304" s="28">
        <f>E304&amp;"_"&amp;F304</f>
        <v/>
      </c>
    </row>
    <row r="305">
      <c r="H305" s="28">
        <f>E305&amp;"_"&amp;F305</f>
        <v/>
      </c>
    </row>
    <row r="306">
      <c r="H306" s="28">
        <f>E306&amp;"_"&amp;F306</f>
        <v/>
      </c>
    </row>
    <row r="307">
      <c r="H307" s="28">
        <f>E307&amp;"_"&amp;F307</f>
        <v/>
      </c>
    </row>
    <row r="308">
      <c r="H308" s="28">
        <f>E308&amp;"_"&amp;F308</f>
        <v/>
      </c>
    </row>
    <row r="309">
      <c r="H309" s="28">
        <f>E309&amp;"_"&amp;F309</f>
        <v/>
      </c>
    </row>
    <row r="310">
      <c r="H310" s="28">
        <f>E310&amp;"_"&amp;F310</f>
        <v/>
      </c>
    </row>
    <row r="311">
      <c r="H311" s="28">
        <f>E311&amp;"_"&amp;F311</f>
        <v/>
      </c>
    </row>
    <row r="312">
      <c r="H312" s="28">
        <f>E312&amp;"_"&amp;F312</f>
        <v/>
      </c>
    </row>
    <row r="313">
      <c r="H313" s="28">
        <f>E313&amp;"_"&amp;F313</f>
        <v/>
      </c>
    </row>
    <row r="314">
      <c r="H314" s="28">
        <f>E314&amp;"_"&amp;F314</f>
        <v/>
      </c>
    </row>
    <row r="315">
      <c r="H315" s="28">
        <f>E315&amp;"_"&amp;F315</f>
        <v/>
      </c>
    </row>
    <row r="316">
      <c r="H316" s="28">
        <f>E316&amp;"_"&amp;F316</f>
        <v/>
      </c>
    </row>
    <row r="317">
      <c r="H317" s="28">
        <f>E317&amp;"_"&amp;F317</f>
        <v/>
      </c>
    </row>
    <row r="318">
      <c r="H318" s="28">
        <f>E318&amp;"_"&amp;F318</f>
        <v/>
      </c>
    </row>
    <row r="319">
      <c r="H319" s="28">
        <f>E319&amp;"_"&amp;F319</f>
        <v/>
      </c>
    </row>
    <row r="320">
      <c r="H320" s="28">
        <f>E320&amp;"_"&amp;F320</f>
        <v/>
      </c>
    </row>
    <row r="321">
      <c r="H321" s="28">
        <f>E321&amp;"_"&amp;F321</f>
        <v/>
      </c>
    </row>
    <row r="322">
      <c r="H322" s="28">
        <f>E322&amp;"_"&amp;F322</f>
        <v/>
      </c>
    </row>
    <row r="323">
      <c r="H323" s="28">
        <f>E323&amp;"_"&amp;F323</f>
        <v/>
      </c>
    </row>
    <row r="324">
      <c r="H324" s="28">
        <f>E324&amp;"_"&amp;F324</f>
        <v/>
      </c>
    </row>
    <row r="325">
      <c r="H325" s="28">
        <f>E325&amp;"_"&amp;F325</f>
        <v/>
      </c>
    </row>
    <row r="326">
      <c r="H326" s="28">
        <f>E326&amp;"_"&amp;F326</f>
        <v/>
      </c>
    </row>
    <row r="327">
      <c r="H327" s="28">
        <f>E327&amp;"_"&amp;F327</f>
        <v/>
      </c>
    </row>
    <row r="328">
      <c r="H328" s="28">
        <f>E328&amp;"_"&amp;F328</f>
        <v/>
      </c>
    </row>
    <row r="329">
      <c r="H329" s="28">
        <f>E329&amp;"_"&amp;F329</f>
        <v/>
      </c>
    </row>
    <row r="330">
      <c r="H330" s="28">
        <f>E330&amp;"_"&amp;F330</f>
        <v/>
      </c>
    </row>
    <row r="331">
      <c r="H331" s="28">
        <f>E331&amp;"_"&amp;F331</f>
        <v/>
      </c>
    </row>
    <row r="332">
      <c r="H332" s="28">
        <f>E332&amp;"_"&amp;F332</f>
        <v/>
      </c>
    </row>
    <row r="333">
      <c r="H333" s="28">
        <f>E333&amp;"_"&amp;F333</f>
        <v/>
      </c>
    </row>
    <row r="334">
      <c r="H334" s="28">
        <f>E334&amp;"_"&amp;F334</f>
        <v/>
      </c>
    </row>
    <row r="335">
      <c r="H335" s="28">
        <f>E335&amp;"_"&amp;F335</f>
        <v/>
      </c>
    </row>
    <row r="336">
      <c r="H336" s="28">
        <f>E336&amp;"_"&amp;F336</f>
        <v/>
      </c>
    </row>
    <row r="337">
      <c r="H337" s="28">
        <f>E337&amp;"_"&amp;F337</f>
        <v/>
      </c>
    </row>
    <row r="338">
      <c r="H338" s="28">
        <f>E338&amp;"_"&amp;F338</f>
        <v/>
      </c>
    </row>
    <row r="339">
      <c r="H339" s="28">
        <f>E339&amp;"_"&amp;F339</f>
        <v/>
      </c>
    </row>
    <row r="340">
      <c r="H340" s="28">
        <f>E340&amp;"_"&amp;F340</f>
        <v/>
      </c>
    </row>
    <row r="341">
      <c r="H341" s="28">
        <f>E341&amp;"_"&amp;F341</f>
        <v/>
      </c>
    </row>
    <row r="342">
      <c r="H342" s="28">
        <f>E342&amp;"_"&amp;F342</f>
        <v/>
      </c>
    </row>
    <row r="343">
      <c r="H343" s="28">
        <f>E343&amp;"_"&amp;F343</f>
        <v/>
      </c>
    </row>
    <row r="344">
      <c r="H344" s="28">
        <f>E344&amp;"_"&amp;F344</f>
        <v/>
      </c>
    </row>
    <row r="345">
      <c r="H345" s="28">
        <f>E345&amp;"_"&amp;F345</f>
        <v/>
      </c>
    </row>
    <row r="346">
      <c r="H346" s="28">
        <f>E346&amp;"_"&amp;F346</f>
        <v/>
      </c>
    </row>
    <row r="347">
      <c r="H347" s="28">
        <f>E347&amp;"_"&amp;F347</f>
        <v/>
      </c>
    </row>
    <row r="348">
      <c r="H348" s="28">
        <f>E348&amp;"_"&amp;F348</f>
        <v/>
      </c>
    </row>
    <row r="349">
      <c r="H349" s="28">
        <f>E349&amp;"_"&amp;F349</f>
        <v/>
      </c>
    </row>
    <row r="350">
      <c r="H350" s="28">
        <f>E350&amp;"_"&amp;F350</f>
        <v/>
      </c>
    </row>
    <row r="351">
      <c r="H351" s="28">
        <f>E351&amp;"_"&amp;F351</f>
        <v/>
      </c>
    </row>
    <row r="352">
      <c r="H352" s="28">
        <f>E352&amp;"_"&amp;F352</f>
        <v/>
      </c>
    </row>
    <row r="353">
      <c r="H353" s="28">
        <f>E353&amp;"_"&amp;F353</f>
        <v/>
      </c>
    </row>
    <row r="354">
      <c r="H354" s="28">
        <f>E354&amp;"_"&amp;F354</f>
        <v/>
      </c>
    </row>
    <row r="355">
      <c r="H355" s="28">
        <f>E355&amp;"_"&amp;F355</f>
        <v/>
      </c>
    </row>
    <row r="356">
      <c r="H356" s="28">
        <f>E356&amp;"_"&amp;F356</f>
        <v/>
      </c>
    </row>
    <row r="357">
      <c r="H357" s="28">
        <f>E357&amp;"_"&amp;F357</f>
        <v/>
      </c>
    </row>
    <row r="358">
      <c r="H358" s="28">
        <f>E358&amp;"_"&amp;F358</f>
        <v/>
      </c>
    </row>
    <row r="359">
      <c r="H359" s="28">
        <f>E359&amp;"_"&amp;F359</f>
        <v/>
      </c>
    </row>
    <row r="360">
      <c r="H360" s="28">
        <f>E360&amp;"_"&amp;F360</f>
        <v/>
      </c>
    </row>
    <row r="361">
      <c r="H361" s="28">
        <f>E361&amp;"_"&amp;F361</f>
        <v/>
      </c>
    </row>
    <row r="362">
      <c r="H362" s="28">
        <f>E362&amp;"_"&amp;F362</f>
        <v/>
      </c>
    </row>
    <row r="363">
      <c r="H363" s="28">
        <f>E363&amp;"_"&amp;F363</f>
        <v/>
      </c>
    </row>
    <row r="364">
      <c r="H364" s="28">
        <f>E364&amp;"_"&amp;F364</f>
        <v/>
      </c>
    </row>
    <row r="365">
      <c r="H365" s="28">
        <f>E365&amp;"_"&amp;F365</f>
        <v/>
      </c>
    </row>
    <row r="366">
      <c r="H366" s="28">
        <f>E366&amp;"_"&amp;F366</f>
        <v/>
      </c>
    </row>
    <row r="367">
      <c r="H367" s="28">
        <f>E367&amp;"_"&amp;F367</f>
        <v/>
      </c>
    </row>
    <row r="368">
      <c r="H368" s="28">
        <f>E368&amp;"_"&amp;F368</f>
        <v/>
      </c>
    </row>
    <row r="369">
      <c r="H369" s="28">
        <f>E369&amp;"_"&amp;F369</f>
        <v/>
      </c>
    </row>
    <row r="370">
      <c r="H370" s="28">
        <f>E370&amp;"_"&amp;F370</f>
        <v/>
      </c>
    </row>
    <row r="371">
      <c r="H371" s="28">
        <f>E371&amp;"_"&amp;F371</f>
        <v/>
      </c>
    </row>
    <row r="372">
      <c r="H372" s="28">
        <f>E372&amp;"_"&amp;F372</f>
        <v/>
      </c>
    </row>
    <row r="373">
      <c r="H373" s="28">
        <f>E373&amp;"_"&amp;F373</f>
        <v/>
      </c>
    </row>
    <row r="374">
      <c r="H374" s="28">
        <f>E374&amp;"_"&amp;F374</f>
        <v/>
      </c>
    </row>
    <row r="375">
      <c r="H375" s="28">
        <f>E375&amp;"_"&amp;F375</f>
        <v/>
      </c>
    </row>
    <row r="376">
      <c r="H376" s="28">
        <f>E376&amp;"_"&amp;F376</f>
        <v/>
      </c>
    </row>
    <row r="377">
      <c r="H377" s="28">
        <f>E377&amp;"_"&amp;F377</f>
        <v/>
      </c>
    </row>
    <row r="378">
      <c r="H378" s="28">
        <f>E378&amp;"_"&amp;F378</f>
        <v/>
      </c>
    </row>
    <row r="379">
      <c r="H379" s="28">
        <f>E379&amp;"_"&amp;F379</f>
        <v/>
      </c>
    </row>
    <row r="380">
      <c r="H380" s="28">
        <f>E380&amp;"_"&amp;F380</f>
        <v/>
      </c>
    </row>
    <row r="381">
      <c r="H381" s="28">
        <f>E381&amp;"_"&amp;F381</f>
        <v/>
      </c>
    </row>
    <row r="382">
      <c r="H382" s="28">
        <f>E382&amp;"_"&amp;F382</f>
        <v/>
      </c>
    </row>
    <row r="383">
      <c r="H383" s="28">
        <f>E383&amp;"_"&amp;F383</f>
        <v/>
      </c>
    </row>
    <row r="384">
      <c r="H384" s="28">
        <f>E384&amp;"_"&amp;F384</f>
        <v/>
      </c>
    </row>
    <row r="385">
      <c r="H385" s="28">
        <f>E385&amp;"_"&amp;F385</f>
        <v/>
      </c>
    </row>
    <row r="386">
      <c r="H386" s="28">
        <f>E386&amp;"_"&amp;F386</f>
        <v/>
      </c>
    </row>
    <row r="387">
      <c r="H387" s="28">
        <f>E387&amp;"_"&amp;F387</f>
        <v/>
      </c>
    </row>
    <row r="388">
      <c r="H388" s="28">
        <f>E388&amp;"_"&amp;F388</f>
        <v/>
      </c>
    </row>
    <row r="389">
      <c r="H389" s="28">
        <f>E389&amp;"_"&amp;F389</f>
        <v/>
      </c>
    </row>
    <row r="390">
      <c r="H390" s="28">
        <f>E390&amp;"_"&amp;F390</f>
        <v/>
      </c>
    </row>
    <row r="391">
      <c r="H391" s="28">
        <f>E391&amp;"_"&amp;F391</f>
        <v/>
      </c>
    </row>
    <row r="392">
      <c r="H392" s="28">
        <f>E392&amp;"_"&amp;F392</f>
        <v/>
      </c>
    </row>
    <row r="393">
      <c r="H393" s="28">
        <f>E393&amp;"_"&amp;F393</f>
        <v/>
      </c>
    </row>
    <row r="394">
      <c r="H394" s="28">
        <f>E394&amp;"_"&amp;F394</f>
        <v/>
      </c>
    </row>
    <row r="395">
      <c r="H395" s="28">
        <f>E395&amp;"_"&amp;F395</f>
        <v/>
      </c>
    </row>
    <row r="396">
      <c r="H396" s="28">
        <f>E396&amp;"_"&amp;F396</f>
        <v/>
      </c>
    </row>
    <row r="397">
      <c r="H397" s="28">
        <f>E397&amp;"_"&amp;F397</f>
        <v/>
      </c>
    </row>
    <row r="398">
      <c r="H398" s="28">
        <f>E398&amp;"_"&amp;F398</f>
        <v/>
      </c>
    </row>
    <row r="399">
      <c r="H399" s="28">
        <f>E399&amp;"_"&amp;F399</f>
        <v/>
      </c>
    </row>
    <row r="400">
      <c r="H400" s="28">
        <f>E400&amp;"_"&amp;F400</f>
        <v/>
      </c>
    </row>
    <row r="401">
      <c r="H401" s="28">
        <f>E401&amp;"_"&amp;F401</f>
        <v/>
      </c>
    </row>
    <row r="402">
      <c r="H402" s="28">
        <f>E402&amp;"_"&amp;F402</f>
        <v/>
      </c>
    </row>
    <row r="403">
      <c r="H403" s="28">
        <f>E403&amp;"_"&amp;F403</f>
        <v/>
      </c>
    </row>
    <row r="404">
      <c r="H404" s="28">
        <f>E404&amp;"_"&amp;F404</f>
        <v/>
      </c>
    </row>
    <row r="405">
      <c r="H405" s="28">
        <f>E405&amp;"_"&amp;F405</f>
        <v/>
      </c>
    </row>
    <row r="406">
      <c r="H406" s="28">
        <f>E406&amp;"_"&amp;F406</f>
        <v/>
      </c>
    </row>
    <row r="407">
      <c r="H407" s="28">
        <f>E407&amp;"_"&amp;F407</f>
        <v/>
      </c>
    </row>
    <row r="408">
      <c r="H408" s="28">
        <f>E408&amp;"_"&amp;F408</f>
        <v/>
      </c>
    </row>
    <row r="409">
      <c r="H409" s="28">
        <f>E409&amp;"_"&amp;F409</f>
        <v/>
      </c>
    </row>
    <row r="410">
      <c r="H410" s="28">
        <f>E410&amp;"_"&amp;F410</f>
        <v/>
      </c>
    </row>
    <row r="411">
      <c r="H411" s="28">
        <f>E411&amp;"_"&amp;F411</f>
        <v/>
      </c>
    </row>
    <row r="412">
      <c r="H412" s="28">
        <f>E412&amp;"_"&amp;F412</f>
        <v/>
      </c>
    </row>
    <row r="413">
      <c r="H413" s="28">
        <f>E413&amp;"_"&amp;F413</f>
        <v/>
      </c>
    </row>
    <row r="414">
      <c r="H414" s="28">
        <f>E414&amp;"_"&amp;F414</f>
        <v/>
      </c>
    </row>
    <row r="415">
      <c r="H415" s="28">
        <f>E415&amp;"_"&amp;F415</f>
        <v/>
      </c>
    </row>
    <row r="416">
      <c r="H416" s="28">
        <f>E416&amp;"_"&amp;F416</f>
        <v/>
      </c>
    </row>
    <row r="417">
      <c r="H417" s="28">
        <f>E417&amp;"_"&amp;F417</f>
        <v/>
      </c>
    </row>
    <row r="418">
      <c r="H418" s="28">
        <f>E418&amp;"_"&amp;F418</f>
        <v/>
      </c>
    </row>
    <row r="419">
      <c r="H419" s="28">
        <f>E419&amp;"_"&amp;F419</f>
        <v/>
      </c>
    </row>
    <row r="420">
      <c r="H420" s="28">
        <f>E420&amp;"_"&amp;F420</f>
        <v/>
      </c>
    </row>
    <row r="421">
      <c r="H421" s="28">
        <f>E421&amp;"_"&amp;F421</f>
        <v/>
      </c>
    </row>
    <row r="422">
      <c r="H422" s="28">
        <f>E422&amp;"_"&amp;F422</f>
        <v/>
      </c>
    </row>
    <row r="423">
      <c r="H423" s="28">
        <f>E423&amp;"_"&amp;F423</f>
        <v/>
      </c>
    </row>
    <row r="424">
      <c r="H424" s="28">
        <f>E424&amp;"_"&amp;F424</f>
        <v/>
      </c>
    </row>
    <row r="425">
      <c r="H425" s="28">
        <f>E425&amp;"_"&amp;F425</f>
        <v/>
      </c>
    </row>
    <row r="426">
      <c r="H426" s="28">
        <f>E426&amp;"_"&amp;F426</f>
        <v/>
      </c>
    </row>
    <row r="427">
      <c r="H427" s="28">
        <f>E427&amp;"_"&amp;F427</f>
        <v/>
      </c>
    </row>
    <row r="428">
      <c r="H428" s="28">
        <f>E428&amp;"_"&amp;F428</f>
        <v/>
      </c>
    </row>
    <row r="429">
      <c r="H429" s="28">
        <f>E429&amp;"_"&amp;F429</f>
        <v/>
      </c>
    </row>
    <row r="430">
      <c r="H430" s="28">
        <f>E430&amp;"_"&amp;F430</f>
        <v/>
      </c>
    </row>
    <row r="431">
      <c r="H431" s="28">
        <f>E431&amp;"_"&amp;F431</f>
        <v/>
      </c>
    </row>
    <row r="432">
      <c r="H432" s="28">
        <f>E432&amp;"_"&amp;F432</f>
        <v/>
      </c>
    </row>
    <row r="433">
      <c r="H433" s="28">
        <f>E433&amp;"_"&amp;F433</f>
        <v/>
      </c>
    </row>
    <row r="434">
      <c r="H434" s="28">
        <f>E434&amp;"_"&amp;F434</f>
        <v/>
      </c>
    </row>
    <row r="435">
      <c r="H435" s="28">
        <f>E435&amp;"_"&amp;F435</f>
        <v/>
      </c>
    </row>
    <row r="436">
      <c r="H436" s="28">
        <f>E436&amp;"_"&amp;F436</f>
        <v/>
      </c>
    </row>
    <row r="437">
      <c r="H437" s="28">
        <f>E437&amp;"_"&amp;F437</f>
        <v/>
      </c>
    </row>
    <row r="438">
      <c r="H438" s="28">
        <f>E438&amp;"_"&amp;F438</f>
        <v/>
      </c>
    </row>
    <row r="439">
      <c r="H439" s="28">
        <f>E439&amp;"_"&amp;F439</f>
        <v/>
      </c>
    </row>
    <row r="440">
      <c r="H440" s="28">
        <f>E440&amp;"_"&amp;F440</f>
        <v/>
      </c>
    </row>
    <row r="441">
      <c r="H441" s="28">
        <f>E441&amp;"_"&amp;F441</f>
        <v/>
      </c>
    </row>
    <row r="442">
      <c r="H442" s="28">
        <f>E442&amp;"_"&amp;F442</f>
        <v/>
      </c>
    </row>
    <row r="443">
      <c r="H443" s="28">
        <f>E443&amp;"_"&amp;F443</f>
        <v/>
      </c>
    </row>
    <row r="444">
      <c r="H444" s="28">
        <f>E444&amp;"_"&amp;F444</f>
        <v/>
      </c>
    </row>
    <row r="445">
      <c r="H445" s="28">
        <f>E445&amp;"_"&amp;F445</f>
        <v/>
      </c>
    </row>
    <row r="446">
      <c r="H446" s="28">
        <f>E446&amp;"_"&amp;F446</f>
        <v/>
      </c>
    </row>
    <row r="447">
      <c r="H447" s="28">
        <f>E447&amp;"_"&amp;F447</f>
        <v/>
      </c>
    </row>
    <row r="448">
      <c r="H448" s="28">
        <f>E448&amp;"_"&amp;F448</f>
        <v/>
      </c>
    </row>
    <row r="449">
      <c r="H449" s="28">
        <f>E449&amp;"_"&amp;F449</f>
        <v/>
      </c>
    </row>
    <row r="450">
      <c r="H450" s="28">
        <f>E450&amp;"_"&amp;F450</f>
        <v/>
      </c>
    </row>
    <row r="451">
      <c r="H451" s="28">
        <f>E451&amp;"_"&amp;F451</f>
        <v/>
      </c>
    </row>
    <row r="452">
      <c r="H452" s="28">
        <f>E452&amp;"_"&amp;F452</f>
        <v/>
      </c>
    </row>
    <row r="453">
      <c r="H453" s="28">
        <f>E453&amp;"_"&amp;F453</f>
        <v/>
      </c>
    </row>
    <row r="454">
      <c r="H454" s="28">
        <f>E454&amp;"_"&amp;F454</f>
        <v/>
      </c>
    </row>
    <row r="455">
      <c r="H455" s="28">
        <f>E455&amp;"_"&amp;F455</f>
        <v/>
      </c>
    </row>
    <row r="456">
      <c r="H456" s="28">
        <f>E456&amp;"_"&amp;F456</f>
        <v/>
      </c>
    </row>
    <row r="457">
      <c r="H457" s="28">
        <f>E457&amp;"_"&amp;F457</f>
        <v/>
      </c>
    </row>
    <row r="458">
      <c r="H458" s="28">
        <f>E458&amp;"_"&amp;F458</f>
        <v/>
      </c>
    </row>
    <row r="459">
      <c r="H459" s="28">
        <f>E459&amp;"_"&amp;F459</f>
        <v/>
      </c>
    </row>
    <row r="460">
      <c r="H460" s="28">
        <f>E460&amp;"_"&amp;F460</f>
        <v/>
      </c>
    </row>
    <row r="461">
      <c r="H461" s="28">
        <f>E461&amp;"_"&amp;F461</f>
        <v/>
      </c>
    </row>
    <row r="462">
      <c r="H462" s="28">
        <f>E462&amp;"_"&amp;F462</f>
        <v/>
      </c>
    </row>
    <row r="463">
      <c r="H463" s="28">
        <f>E463&amp;"_"&amp;F463</f>
        <v/>
      </c>
    </row>
    <row r="464">
      <c r="H464" s="28">
        <f>E464&amp;"_"&amp;F464</f>
        <v/>
      </c>
    </row>
    <row r="465">
      <c r="H465" s="28">
        <f>E465&amp;"_"&amp;F465</f>
        <v/>
      </c>
    </row>
    <row r="466">
      <c r="H466" s="28">
        <f>E466&amp;"_"&amp;F466</f>
        <v/>
      </c>
    </row>
    <row r="467">
      <c r="H467" s="28">
        <f>E467&amp;"_"&amp;F467</f>
        <v/>
      </c>
    </row>
    <row r="468">
      <c r="H468" s="28">
        <f>E468&amp;"_"&amp;F468</f>
        <v/>
      </c>
    </row>
    <row r="469">
      <c r="H469" s="28">
        <f>E469&amp;"_"&amp;F469</f>
        <v/>
      </c>
    </row>
    <row r="470">
      <c r="H470" s="28">
        <f>E470&amp;"_"&amp;F470</f>
        <v/>
      </c>
    </row>
    <row r="471">
      <c r="H471" s="28">
        <f>E471&amp;"_"&amp;F471</f>
        <v/>
      </c>
    </row>
    <row r="472">
      <c r="H472" s="28">
        <f>E472&amp;"_"&amp;F472</f>
        <v/>
      </c>
    </row>
    <row r="473">
      <c r="H473" s="28">
        <f>E473&amp;"_"&amp;F473</f>
        <v/>
      </c>
    </row>
    <row r="474">
      <c r="H474" s="28">
        <f>E474&amp;"_"&amp;F474</f>
        <v/>
      </c>
    </row>
    <row r="475">
      <c r="H475" s="28">
        <f>E475&amp;"_"&amp;F475</f>
        <v/>
      </c>
    </row>
    <row r="476">
      <c r="H476" s="28">
        <f>E476&amp;"_"&amp;F476</f>
        <v/>
      </c>
    </row>
    <row r="477">
      <c r="H477" s="28">
        <f>E477&amp;"_"&amp;F477</f>
        <v/>
      </c>
    </row>
    <row r="478">
      <c r="H478" s="28">
        <f>E478&amp;"_"&amp;F478</f>
        <v/>
      </c>
    </row>
    <row r="479">
      <c r="H479" s="28">
        <f>E479&amp;"_"&amp;F479</f>
        <v/>
      </c>
    </row>
    <row r="480">
      <c r="H480" s="28">
        <f>E480&amp;"_"&amp;F480</f>
        <v/>
      </c>
    </row>
    <row r="481">
      <c r="H481" s="28">
        <f>E481&amp;"_"&amp;F481</f>
        <v/>
      </c>
    </row>
    <row r="482">
      <c r="H482" s="28">
        <f>E482&amp;"_"&amp;F482</f>
        <v/>
      </c>
    </row>
    <row r="483">
      <c r="H483" s="28">
        <f>E483&amp;"_"&amp;F483</f>
        <v/>
      </c>
    </row>
    <row r="484">
      <c r="H484" s="28">
        <f>E484&amp;"_"&amp;F484</f>
        <v/>
      </c>
    </row>
    <row r="485">
      <c r="H485" s="28">
        <f>E485&amp;"_"&amp;F485</f>
        <v/>
      </c>
    </row>
    <row r="486">
      <c r="H486" s="28">
        <f>E486&amp;"_"&amp;F486</f>
        <v/>
      </c>
    </row>
    <row r="487">
      <c r="H487" s="28">
        <f>E487&amp;"_"&amp;F487</f>
        <v/>
      </c>
    </row>
    <row r="488">
      <c r="H488" s="28">
        <f>E488&amp;"_"&amp;F488</f>
        <v/>
      </c>
    </row>
    <row r="489">
      <c r="H489" s="28">
        <f>E489&amp;"_"&amp;F489</f>
        <v/>
      </c>
    </row>
    <row r="490">
      <c r="H490" s="28">
        <f>E490&amp;"_"&amp;F490</f>
        <v/>
      </c>
    </row>
    <row r="491">
      <c r="H491" s="28">
        <f>E491&amp;"_"&amp;F491</f>
        <v/>
      </c>
    </row>
    <row r="492">
      <c r="H492" s="28">
        <f>E492&amp;"_"&amp;F492</f>
        <v/>
      </c>
    </row>
    <row r="493">
      <c r="H493" s="28">
        <f>E493&amp;"_"&amp;F493</f>
        <v/>
      </c>
    </row>
    <row r="494">
      <c r="H494" s="28">
        <f>E494&amp;"_"&amp;F494</f>
        <v/>
      </c>
    </row>
    <row r="495">
      <c r="H495" s="28">
        <f>E495&amp;"_"&amp;F495</f>
        <v/>
      </c>
    </row>
    <row r="496">
      <c r="H496" s="28">
        <f>E496&amp;"_"&amp;F496</f>
        <v/>
      </c>
    </row>
    <row r="497">
      <c r="H497" s="28">
        <f>E497&amp;"_"&amp;F497</f>
        <v/>
      </c>
    </row>
    <row r="498">
      <c r="H498" s="28">
        <f>E498&amp;"_"&amp;F498</f>
        <v/>
      </c>
    </row>
    <row r="499">
      <c r="H499" s="28">
        <f>E499&amp;"_"&amp;F499</f>
        <v/>
      </c>
    </row>
    <row r="500">
      <c r="H500" s="28">
        <f>E500&amp;"_"&amp;F500</f>
        <v/>
      </c>
    </row>
    <row r="501">
      <c r="H501" s="28">
        <f>E501&amp;"_"&amp;F501</f>
        <v/>
      </c>
    </row>
    <row r="502">
      <c r="H502" s="28">
        <f>E502&amp;"_"&amp;F502</f>
        <v/>
      </c>
    </row>
    <row r="503">
      <c r="H503" s="28">
        <f>E503&amp;"_"&amp;F503</f>
        <v/>
      </c>
    </row>
    <row r="504">
      <c r="H504" s="28">
        <f>E504&amp;"_"&amp;F504</f>
        <v/>
      </c>
    </row>
    <row r="505">
      <c r="H505" s="28">
        <f>E505&amp;"_"&amp;F505</f>
        <v/>
      </c>
    </row>
    <row r="506">
      <c r="H506" s="28">
        <f>E506&amp;"_"&amp;F506</f>
        <v/>
      </c>
    </row>
    <row r="507">
      <c r="H507" s="28">
        <f>E507&amp;"_"&amp;F507</f>
        <v/>
      </c>
    </row>
    <row r="508">
      <c r="H508" s="28">
        <f>E508&amp;"_"&amp;F508</f>
        <v/>
      </c>
    </row>
    <row r="509">
      <c r="H509" s="28">
        <f>E509&amp;"_"&amp;F509</f>
        <v/>
      </c>
    </row>
    <row r="510">
      <c r="H510" s="28">
        <f>E510&amp;"_"&amp;F510</f>
        <v/>
      </c>
    </row>
    <row r="511">
      <c r="H511" s="28">
        <f>E511&amp;"_"&amp;F511</f>
        <v/>
      </c>
    </row>
    <row r="512">
      <c r="H512" s="28">
        <f>E512&amp;"_"&amp;F512</f>
        <v/>
      </c>
    </row>
    <row r="513">
      <c r="H513" s="28">
        <f>E513&amp;"_"&amp;F513</f>
        <v/>
      </c>
    </row>
    <row r="514">
      <c r="H514" s="28">
        <f>E514&amp;"_"&amp;F514</f>
        <v/>
      </c>
    </row>
    <row r="515">
      <c r="H515" s="28">
        <f>E515&amp;"_"&amp;F515</f>
        <v/>
      </c>
    </row>
    <row r="516">
      <c r="H516" s="28">
        <f>E516&amp;"_"&amp;F516</f>
        <v/>
      </c>
    </row>
    <row r="517">
      <c r="H517" s="28">
        <f>E517&amp;"_"&amp;F517</f>
        <v/>
      </c>
    </row>
    <row r="518">
      <c r="H518" s="28">
        <f>E518&amp;"_"&amp;F518</f>
        <v/>
      </c>
    </row>
    <row r="519">
      <c r="H519" s="28">
        <f>E519&amp;"_"&amp;F519</f>
        <v/>
      </c>
    </row>
    <row r="520">
      <c r="H520" s="28">
        <f>E520&amp;"_"&amp;F520</f>
        <v/>
      </c>
    </row>
    <row r="521">
      <c r="H521" s="28">
        <f>E521&amp;"_"&amp;F521</f>
        <v/>
      </c>
    </row>
    <row r="522">
      <c r="H522" s="28">
        <f>E522&amp;"_"&amp;F522</f>
        <v/>
      </c>
    </row>
    <row r="523">
      <c r="H523" s="28">
        <f>E523&amp;"_"&amp;F523</f>
        <v/>
      </c>
    </row>
    <row r="524">
      <c r="H524" s="28">
        <f>E524&amp;"_"&amp;F524</f>
        <v/>
      </c>
    </row>
    <row r="525">
      <c r="H525" s="28">
        <f>E525&amp;"_"&amp;F525</f>
        <v/>
      </c>
    </row>
    <row r="526">
      <c r="H526" s="28">
        <f>E526&amp;"_"&amp;F526</f>
        <v/>
      </c>
    </row>
    <row r="527">
      <c r="H527" s="28">
        <f>E527&amp;"_"&amp;F527</f>
        <v/>
      </c>
    </row>
    <row r="528">
      <c r="H528" s="28">
        <f>E528&amp;"_"&amp;F528</f>
        <v/>
      </c>
    </row>
    <row r="529">
      <c r="H529" s="28">
        <f>E529&amp;"_"&amp;F529</f>
        <v/>
      </c>
    </row>
    <row r="530">
      <c r="H530" s="28">
        <f>E530&amp;"_"&amp;F530</f>
        <v/>
      </c>
    </row>
    <row r="531">
      <c r="H531" s="28">
        <f>E531&amp;"_"&amp;F531</f>
        <v/>
      </c>
    </row>
    <row r="532">
      <c r="H532" s="28">
        <f>E532&amp;"_"&amp;F532</f>
        <v/>
      </c>
    </row>
    <row r="533">
      <c r="H533" s="28">
        <f>E533&amp;"_"&amp;F533</f>
        <v/>
      </c>
    </row>
    <row r="534">
      <c r="H534" s="28">
        <f>E534&amp;"_"&amp;F534</f>
        <v/>
      </c>
    </row>
    <row r="535">
      <c r="H535" s="28">
        <f>E535&amp;"_"&amp;F535</f>
        <v/>
      </c>
    </row>
    <row r="536">
      <c r="H536" s="28">
        <f>E536&amp;"_"&amp;F536</f>
        <v/>
      </c>
    </row>
    <row r="537">
      <c r="H537" s="28">
        <f>E537&amp;"_"&amp;F537</f>
        <v/>
      </c>
    </row>
    <row r="538">
      <c r="H538" s="28">
        <f>E538&amp;"_"&amp;F538</f>
        <v/>
      </c>
    </row>
    <row r="539">
      <c r="H539" s="28">
        <f>E539&amp;"_"&amp;F539</f>
        <v/>
      </c>
    </row>
    <row r="540">
      <c r="H540" s="28">
        <f>E540&amp;"_"&amp;F540</f>
        <v/>
      </c>
    </row>
    <row r="541">
      <c r="H541" s="28">
        <f>E541&amp;"_"&amp;F541</f>
        <v/>
      </c>
    </row>
    <row r="542">
      <c r="H542" s="28">
        <f>E542&amp;"_"&amp;F542</f>
        <v/>
      </c>
    </row>
    <row r="543">
      <c r="H543" s="28">
        <f>E543&amp;"_"&amp;F543</f>
        <v/>
      </c>
    </row>
    <row r="544">
      <c r="H544" s="28">
        <f>E544&amp;"_"&amp;F544</f>
        <v/>
      </c>
    </row>
    <row r="545">
      <c r="H545" s="28">
        <f>E545&amp;"_"&amp;F545</f>
        <v/>
      </c>
    </row>
    <row r="546">
      <c r="H546" s="28">
        <f>E546&amp;"_"&amp;F546</f>
        <v/>
      </c>
    </row>
    <row r="547">
      <c r="H547" s="28">
        <f>E547&amp;"_"&amp;F547</f>
        <v/>
      </c>
    </row>
    <row r="548">
      <c r="H548" s="28">
        <f>E548&amp;"_"&amp;F548</f>
        <v/>
      </c>
    </row>
    <row r="549">
      <c r="H549" s="28">
        <f>E549&amp;"_"&amp;F549</f>
        <v/>
      </c>
    </row>
    <row r="550">
      <c r="H550" s="28">
        <f>E550&amp;"_"&amp;F550</f>
        <v/>
      </c>
    </row>
    <row r="551">
      <c r="H551" s="28">
        <f>E551&amp;"_"&amp;F551</f>
        <v/>
      </c>
    </row>
    <row r="552">
      <c r="H552" s="28">
        <f>E552&amp;"_"&amp;F552</f>
        <v/>
      </c>
    </row>
    <row r="553">
      <c r="H553" s="28">
        <f>E553&amp;"_"&amp;F553</f>
        <v/>
      </c>
    </row>
    <row r="554">
      <c r="H554" s="28">
        <f>E554&amp;"_"&amp;F554</f>
        <v/>
      </c>
    </row>
    <row r="555">
      <c r="H555" s="28">
        <f>E555&amp;"_"&amp;F555</f>
        <v/>
      </c>
    </row>
    <row r="556">
      <c r="H556" s="28">
        <f>E556&amp;"_"&amp;F556</f>
        <v/>
      </c>
    </row>
    <row r="557">
      <c r="H557" s="28">
        <f>E557&amp;"_"&amp;F557</f>
        <v/>
      </c>
    </row>
    <row r="558">
      <c r="H558" s="28">
        <f>E558&amp;"_"&amp;F558</f>
        <v/>
      </c>
    </row>
    <row r="559">
      <c r="H559" s="28">
        <f>E559&amp;"_"&amp;F559</f>
        <v/>
      </c>
    </row>
    <row r="560">
      <c r="H560" s="28">
        <f>E560&amp;"_"&amp;F560</f>
        <v/>
      </c>
    </row>
    <row r="561">
      <c r="H561" s="28">
        <f>E561&amp;"_"&amp;F561</f>
        <v/>
      </c>
    </row>
    <row r="562">
      <c r="H562" s="28">
        <f>E562&amp;"_"&amp;F562</f>
        <v/>
      </c>
    </row>
    <row r="563">
      <c r="H563" s="28">
        <f>E563&amp;"_"&amp;F563</f>
        <v/>
      </c>
    </row>
    <row r="564">
      <c r="H564" s="28">
        <f>E564&amp;"_"&amp;F564</f>
        <v/>
      </c>
    </row>
    <row r="565">
      <c r="H565" s="28">
        <f>E565&amp;"_"&amp;F565</f>
        <v/>
      </c>
    </row>
    <row r="566">
      <c r="H566" s="28">
        <f>E566&amp;"_"&amp;F566</f>
        <v/>
      </c>
    </row>
    <row r="567">
      <c r="H567" s="28">
        <f>E567&amp;"_"&amp;F567</f>
        <v/>
      </c>
    </row>
    <row r="568">
      <c r="H568" s="28">
        <f>E568&amp;"_"&amp;F568</f>
        <v/>
      </c>
    </row>
    <row r="569">
      <c r="H569" s="28">
        <f>E569&amp;"_"&amp;F569</f>
        <v/>
      </c>
    </row>
    <row r="570">
      <c r="H570" s="28">
        <f>E570&amp;"_"&amp;F570</f>
        <v/>
      </c>
    </row>
    <row r="571">
      <c r="H571" s="28">
        <f>E571&amp;"_"&amp;F571</f>
        <v/>
      </c>
    </row>
    <row r="572">
      <c r="H572" s="28">
        <f>E572&amp;"_"&amp;F572</f>
        <v/>
      </c>
    </row>
    <row r="573">
      <c r="H573" s="28">
        <f>E573&amp;"_"&amp;F573</f>
        <v/>
      </c>
    </row>
    <row r="574">
      <c r="H574" s="28">
        <f>E574&amp;"_"&amp;F574</f>
        <v/>
      </c>
    </row>
    <row r="575">
      <c r="H575" s="28">
        <f>E575&amp;"_"&amp;F575</f>
        <v/>
      </c>
    </row>
    <row r="576">
      <c r="H576" s="28">
        <f>E576&amp;"_"&amp;F576</f>
        <v/>
      </c>
    </row>
    <row r="577">
      <c r="H577" s="28">
        <f>E577&amp;"_"&amp;F577</f>
        <v/>
      </c>
    </row>
    <row r="578">
      <c r="H578" s="28">
        <f>E578&amp;"_"&amp;F578</f>
        <v/>
      </c>
    </row>
    <row r="579">
      <c r="H579" s="28">
        <f>E579&amp;"_"&amp;F579</f>
        <v/>
      </c>
    </row>
    <row r="580">
      <c r="H580" s="28">
        <f>E580&amp;"_"&amp;F580</f>
        <v/>
      </c>
    </row>
    <row r="581">
      <c r="H581" s="28">
        <f>E581&amp;"_"&amp;F581</f>
        <v/>
      </c>
    </row>
    <row r="582">
      <c r="H582" s="28">
        <f>E582&amp;"_"&amp;F582</f>
        <v/>
      </c>
    </row>
    <row r="583">
      <c r="H583" s="28">
        <f>E583&amp;"_"&amp;F583</f>
        <v/>
      </c>
    </row>
    <row r="584">
      <c r="H584" s="28">
        <f>E584&amp;"_"&amp;F584</f>
        <v/>
      </c>
    </row>
    <row r="585">
      <c r="H585" s="28">
        <f>E585&amp;"_"&amp;F585</f>
        <v/>
      </c>
    </row>
    <row r="586">
      <c r="H586" s="28">
        <f>E586&amp;"_"&amp;F586</f>
        <v/>
      </c>
    </row>
    <row r="587">
      <c r="H587" s="28">
        <f>E587&amp;"_"&amp;F587</f>
        <v/>
      </c>
    </row>
    <row r="588">
      <c r="H588" s="28">
        <f>E588&amp;"_"&amp;F588</f>
        <v/>
      </c>
    </row>
    <row r="589">
      <c r="H589" s="28">
        <f>E589&amp;"_"&amp;F589</f>
        <v/>
      </c>
    </row>
    <row r="590">
      <c r="H590" s="28">
        <f>E590&amp;"_"&amp;F590</f>
        <v/>
      </c>
    </row>
    <row r="591">
      <c r="H591" s="28">
        <f>E591&amp;"_"&amp;F591</f>
        <v/>
      </c>
    </row>
    <row r="592">
      <c r="H592" s="28">
        <f>E592&amp;"_"&amp;F592</f>
        <v/>
      </c>
    </row>
    <row r="593">
      <c r="H593" s="28">
        <f>E593&amp;"_"&amp;F593</f>
        <v/>
      </c>
    </row>
    <row r="594">
      <c r="H594" s="28">
        <f>E594&amp;"_"&amp;F594</f>
        <v/>
      </c>
    </row>
    <row r="595">
      <c r="H595" s="28">
        <f>E595&amp;"_"&amp;F595</f>
        <v/>
      </c>
    </row>
    <row r="596">
      <c r="H596" s="28">
        <f>E596&amp;"_"&amp;F596</f>
        <v/>
      </c>
    </row>
    <row r="597">
      <c r="H597" s="28">
        <f>E597&amp;"_"&amp;F597</f>
        <v/>
      </c>
    </row>
    <row r="598">
      <c r="H598" s="28">
        <f>E598&amp;"_"&amp;F598</f>
        <v/>
      </c>
    </row>
    <row r="599">
      <c r="H599" s="28">
        <f>E599&amp;"_"&amp;F599</f>
        <v/>
      </c>
    </row>
    <row r="600">
      <c r="H600" s="28">
        <f>E600&amp;"_"&amp;F600</f>
        <v/>
      </c>
    </row>
    <row r="601">
      <c r="H601" s="28">
        <f>E601&amp;"_"&amp;F601</f>
        <v/>
      </c>
    </row>
    <row r="602">
      <c r="H602" s="28">
        <f>E602&amp;"_"&amp;F602</f>
        <v/>
      </c>
    </row>
    <row r="603">
      <c r="H603" s="28">
        <f>E603&amp;"_"&amp;F603</f>
        <v/>
      </c>
    </row>
    <row r="604">
      <c r="H604" s="28">
        <f>E604&amp;"_"&amp;F604</f>
        <v/>
      </c>
    </row>
    <row r="605">
      <c r="H605" s="28">
        <f>E605&amp;"_"&amp;F605</f>
        <v/>
      </c>
    </row>
    <row r="606">
      <c r="H606" s="28">
        <f>E606&amp;"_"&amp;F606</f>
        <v/>
      </c>
    </row>
    <row r="607">
      <c r="H607" s="28">
        <f>E607&amp;"_"&amp;F607</f>
        <v/>
      </c>
    </row>
    <row r="608">
      <c r="H608" s="28">
        <f>E608&amp;"_"&amp;F608</f>
        <v/>
      </c>
    </row>
    <row r="609">
      <c r="H609" s="28">
        <f>E609&amp;"_"&amp;F609</f>
        <v/>
      </c>
    </row>
    <row r="610">
      <c r="H610" s="28">
        <f>E610&amp;"_"&amp;F610</f>
        <v/>
      </c>
    </row>
    <row r="611">
      <c r="H611" s="28">
        <f>E611&amp;"_"&amp;F611</f>
        <v/>
      </c>
    </row>
    <row r="612">
      <c r="H612" s="28">
        <f>E612&amp;"_"&amp;F612</f>
        <v/>
      </c>
    </row>
    <row r="613">
      <c r="H613" s="28">
        <f>E613&amp;"_"&amp;F613</f>
        <v/>
      </c>
    </row>
    <row r="614">
      <c r="H614" s="28">
        <f>E614&amp;"_"&amp;F614</f>
        <v/>
      </c>
    </row>
    <row r="615">
      <c r="H615" s="28">
        <f>E615&amp;"_"&amp;F615</f>
        <v/>
      </c>
    </row>
    <row r="616">
      <c r="H616" s="28">
        <f>E616&amp;"_"&amp;F616</f>
        <v/>
      </c>
    </row>
    <row r="617">
      <c r="H617" s="28">
        <f>E617&amp;"_"&amp;F617</f>
        <v/>
      </c>
    </row>
    <row r="618">
      <c r="H618" s="28">
        <f>E618&amp;"_"&amp;F618</f>
        <v/>
      </c>
    </row>
    <row r="619">
      <c r="H619" s="28">
        <f>E619&amp;"_"&amp;F619</f>
        <v/>
      </c>
    </row>
    <row r="620">
      <c r="H620" s="28">
        <f>E620&amp;"_"&amp;F620</f>
        <v/>
      </c>
    </row>
    <row r="621">
      <c r="H621" s="28">
        <f>E621&amp;"_"&amp;F621</f>
        <v/>
      </c>
    </row>
    <row r="622">
      <c r="H622" s="28">
        <f>E622&amp;"_"&amp;F622</f>
        <v/>
      </c>
    </row>
    <row r="623">
      <c r="H623" s="28">
        <f>E623&amp;"_"&amp;F623</f>
        <v/>
      </c>
    </row>
    <row r="624">
      <c r="H624" s="28">
        <f>E624&amp;"_"&amp;F624</f>
        <v/>
      </c>
    </row>
    <row r="625">
      <c r="H625" s="28">
        <f>E625&amp;"_"&amp;F625</f>
        <v/>
      </c>
    </row>
    <row r="626">
      <c r="H626" s="28">
        <f>E626&amp;"_"&amp;F626</f>
        <v/>
      </c>
    </row>
    <row r="627">
      <c r="H627" s="28">
        <f>E627&amp;"_"&amp;F627</f>
        <v/>
      </c>
    </row>
    <row r="628">
      <c r="H628" s="28">
        <f>E628&amp;"_"&amp;F628</f>
        <v/>
      </c>
    </row>
    <row r="629">
      <c r="H629" s="28">
        <f>E629&amp;"_"&amp;F629</f>
        <v/>
      </c>
    </row>
    <row r="630">
      <c r="H630" s="28">
        <f>E630&amp;"_"&amp;F630</f>
        <v/>
      </c>
    </row>
    <row r="631">
      <c r="H631" s="28">
        <f>E631&amp;"_"&amp;F631</f>
        <v/>
      </c>
    </row>
    <row r="632">
      <c r="H632" s="28">
        <f>E632&amp;"_"&amp;F632</f>
        <v/>
      </c>
    </row>
    <row r="633">
      <c r="H633" s="28">
        <f>E633&amp;"_"&amp;F633</f>
        <v/>
      </c>
    </row>
    <row r="634">
      <c r="H634" s="28">
        <f>E634&amp;"_"&amp;F634</f>
        <v/>
      </c>
    </row>
    <row r="635">
      <c r="H635" s="28">
        <f>E635&amp;"_"&amp;F635</f>
        <v/>
      </c>
    </row>
    <row r="636">
      <c r="H636" s="28">
        <f>E636&amp;"_"&amp;F636</f>
        <v/>
      </c>
    </row>
    <row r="637">
      <c r="H637" s="28">
        <f>E637&amp;"_"&amp;F637</f>
        <v/>
      </c>
    </row>
    <row r="638">
      <c r="H638" s="28">
        <f>E638&amp;"_"&amp;F638</f>
        <v/>
      </c>
    </row>
    <row r="639">
      <c r="H639" s="28">
        <f>E639&amp;"_"&amp;F639</f>
        <v/>
      </c>
    </row>
    <row r="640">
      <c r="H640" s="28">
        <f>E640&amp;"_"&amp;F640</f>
        <v/>
      </c>
    </row>
    <row r="641">
      <c r="H641" s="28">
        <f>E641&amp;"_"&amp;F641</f>
        <v/>
      </c>
    </row>
    <row r="642">
      <c r="H642" s="28">
        <f>E642&amp;"_"&amp;F642</f>
        <v/>
      </c>
    </row>
    <row r="643">
      <c r="H643" s="28">
        <f>E643&amp;"_"&amp;F643</f>
        <v/>
      </c>
    </row>
    <row r="644">
      <c r="H644" s="28">
        <f>E644&amp;"_"&amp;F644</f>
        <v/>
      </c>
    </row>
    <row r="645">
      <c r="H645" s="28">
        <f>E645&amp;"_"&amp;F645</f>
        <v/>
      </c>
    </row>
    <row r="646">
      <c r="H646" s="28">
        <f>E646&amp;"_"&amp;F646</f>
        <v/>
      </c>
    </row>
    <row r="647">
      <c r="H647" s="28">
        <f>E647&amp;"_"&amp;F647</f>
        <v/>
      </c>
    </row>
    <row r="648">
      <c r="H648" s="28">
        <f>E648&amp;"_"&amp;F648</f>
        <v/>
      </c>
    </row>
    <row r="649">
      <c r="H649" s="28">
        <f>E649&amp;"_"&amp;F649</f>
        <v/>
      </c>
    </row>
    <row r="650">
      <c r="H650" s="28">
        <f>E650&amp;"_"&amp;F650</f>
        <v/>
      </c>
    </row>
    <row r="651">
      <c r="H651" s="28">
        <f>E651&amp;"_"&amp;F651</f>
        <v/>
      </c>
    </row>
    <row r="652">
      <c r="H652" s="28">
        <f>E652&amp;"_"&amp;F652</f>
        <v/>
      </c>
    </row>
    <row r="653">
      <c r="H653" s="28">
        <f>E653&amp;"_"&amp;F653</f>
        <v/>
      </c>
    </row>
    <row r="654">
      <c r="H654" s="28">
        <f>E654&amp;"_"&amp;F654</f>
        <v/>
      </c>
    </row>
    <row r="655">
      <c r="H655" s="28">
        <f>E655&amp;"_"&amp;F655</f>
        <v/>
      </c>
    </row>
    <row r="656">
      <c r="H656" s="28">
        <f>E656&amp;"_"&amp;F656</f>
        <v/>
      </c>
    </row>
    <row r="657">
      <c r="H657" s="28">
        <f>E657&amp;"_"&amp;F657</f>
        <v/>
      </c>
    </row>
    <row r="658">
      <c r="H658" s="28">
        <f>E658&amp;"_"&amp;F658</f>
        <v/>
      </c>
    </row>
    <row r="659">
      <c r="H659" s="28">
        <f>E659&amp;"_"&amp;F659</f>
        <v/>
      </c>
    </row>
    <row r="660">
      <c r="H660" s="28">
        <f>E660&amp;"_"&amp;F660</f>
        <v/>
      </c>
    </row>
    <row r="661">
      <c r="H661" s="28">
        <f>E661&amp;"_"&amp;F661</f>
        <v/>
      </c>
    </row>
    <row r="662">
      <c r="H662" s="28">
        <f>E662&amp;"_"&amp;F662</f>
        <v/>
      </c>
    </row>
    <row r="663">
      <c r="H663" s="28">
        <f>E663&amp;"_"&amp;F663</f>
        <v/>
      </c>
    </row>
    <row r="664">
      <c r="H664" s="28">
        <f>E664&amp;"_"&amp;F664</f>
        <v/>
      </c>
    </row>
    <row r="665">
      <c r="H665" s="28">
        <f>E665&amp;"_"&amp;F665</f>
        <v/>
      </c>
    </row>
    <row r="666">
      <c r="H666" s="28">
        <f>E666&amp;"_"&amp;F666</f>
        <v/>
      </c>
    </row>
    <row r="667">
      <c r="H667" s="28">
        <f>E667&amp;"_"&amp;F667</f>
        <v/>
      </c>
    </row>
    <row r="668">
      <c r="H668" s="28">
        <f>E668&amp;"_"&amp;F668</f>
        <v/>
      </c>
    </row>
    <row r="669">
      <c r="H669" s="28">
        <f>E669&amp;"_"&amp;F669</f>
        <v/>
      </c>
    </row>
    <row r="670">
      <c r="H670" s="28">
        <f>E670&amp;"_"&amp;F670</f>
        <v/>
      </c>
    </row>
    <row r="671">
      <c r="H671" s="28">
        <f>E671&amp;"_"&amp;F671</f>
        <v/>
      </c>
    </row>
    <row r="672">
      <c r="H672" s="28">
        <f>E672&amp;"_"&amp;F672</f>
        <v/>
      </c>
    </row>
    <row r="673">
      <c r="H673" s="28">
        <f>E673&amp;"_"&amp;F673</f>
        <v/>
      </c>
    </row>
    <row r="674">
      <c r="H674" s="28">
        <f>E674&amp;"_"&amp;F674</f>
        <v/>
      </c>
    </row>
    <row r="675">
      <c r="H675" s="28">
        <f>E675&amp;"_"&amp;F675</f>
        <v/>
      </c>
    </row>
    <row r="676">
      <c r="H676" s="28">
        <f>E676&amp;"_"&amp;F676</f>
        <v/>
      </c>
    </row>
    <row r="677">
      <c r="H677" s="28">
        <f>E677&amp;"_"&amp;F677</f>
        <v/>
      </c>
    </row>
    <row r="678">
      <c r="H678" s="28">
        <f>E678&amp;"_"&amp;F678</f>
        <v/>
      </c>
    </row>
    <row r="679">
      <c r="H679" s="28">
        <f>E679&amp;"_"&amp;F679</f>
        <v/>
      </c>
    </row>
    <row r="680">
      <c r="H680" s="28">
        <f>E680&amp;"_"&amp;F680</f>
        <v/>
      </c>
    </row>
    <row r="681">
      <c r="H681" s="28">
        <f>E681&amp;"_"&amp;F681</f>
        <v/>
      </c>
    </row>
    <row r="682">
      <c r="H682" s="28">
        <f>E682&amp;"_"&amp;F682</f>
        <v/>
      </c>
    </row>
    <row r="683">
      <c r="H683" s="28">
        <f>E683&amp;"_"&amp;F683</f>
        <v/>
      </c>
    </row>
    <row r="684">
      <c r="H684" s="28">
        <f>E684&amp;"_"&amp;F684</f>
        <v/>
      </c>
    </row>
    <row r="685">
      <c r="H685" s="28">
        <f>E685&amp;"_"&amp;F685</f>
        <v/>
      </c>
    </row>
    <row r="686">
      <c r="H686" s="28">
        <f>E686&amp;"_"&amp;F686</f>
        <v/>
      </c>
    </row>
    <row r="687">
      <c r="H687" s="28">
        <f>E687&amp;"_"&amp;F687</f>
        <v/>
      </c>
    </row>
    <row r="688">
      <c r="H688" s="28">
        <f>E688&amp;"_"&amp;F688</f>
        <v/>
      </c>
    </row>
    <row r="689">
      <c r="H689" s="28">
        <f>E689&amp;"_"&amp;F689</f>
        <v/>
      </c>
    </row>
    <row r="690">
      <c r="H690" s="28">
        <f>E690&amp;"_"&amp;F690</f>
        <v/>
      </c>
    </row>
    <row r="691">
      <c r="H691" s="28">
        <f>E691&amp;"_"&amp;F691</f>
        <v/>
      </c>
    </row>
    <row r="692">
      <c r="H692" s="28">
        <f>E692&amp;"_"&amp;F692</f>
        <v/>
      </c>
    </row>
    <row r="693">
      <c r="H693" s="28">
        <f>E693&amp;"_"&amp;F693</f>
        <v/>
      </c>
    </row>
    <row r="694">
      <c r="H694" s="28">
        <f>E694&amp;"_"&amp;F694</f>
        <v/>
      </c>
    </row>
    <row r="695">
      <c r="H695" s="28">
        <f>E695&amp;"_"&amp;F695</f>
        <v/>
      </c>
    </row>
    <row r="696">
      <c r="H696" s="28">
        <f>E696&amp;"_"&amp;F696</f>
        <v/>
      </c>
    </row>
    <row r="697">
      <c r="H697" s="28">
        <f>E697&amp;"_"&amp;F697</f>
        <v/>
      </c>
    </row>
    <row r="698">
      <c r="H698" s="28">
        <f>E698&amp;"_"&amp;F698</f>
        <v/>
      </c>
    </row>
    <row r="699">
      <c r="H699" s="28">
        <f>E699&amp;"_"&amp;F699</f>
        <v/>
      </c>
    </row>
    <row r="700">
      <c r="H700" s="28">
        <f>E700&amp;"_"&amp;F700</f>
        <v/>
      </c>
    </row>
    <row r="701">
      <c r="H701" s="28">
        <f>E701&amp;"_"&amp;F701</f>
        <v/>
      </c>
    </row>
    <row r="702">
      <c r="H702" s="28">
        <f>E702&amp;"_"&amp;F702</f>
        <v/>
      </c>
    </row>
    <row r="703">
      <c r="H703" s="28">
        <f>E703&amp;"_"&amp;F703</f>
        <v/>
      </c>
    </row>
    <row r="704">
      <c r="H704" s="28">
        <f>E704&amp;"_"&amp;F704</f>
        <v/>
      </c>
    </row>
    <row r="705">
      <c r="H705" s="28">
        <f>E705&amp;"_"&amp;F705</f>
        <v/>
      </c>
    </row>
    <row r="706">
      <c r="H706" s="28">
        <f>E706&amp;"_"&amp;F706</f>
        <v/>
      </c>
    </row>
    <row r="707">
      <c r="H707" s="28">
        <f>E707&amp;"_"&amp;F707</f>
        <v/>
      </c>
    </row>
    <row r="708">
      <c r="H708" s="28">
        <f>E708&amp;"_"&amp;F708</f>
        <v/>
      </c>
    </row>
    <row r="709">
      <c r="H709" s="28">
        <f>E709&amp;"_"&amp;F709</f>
        <v/>
      </c>
    </row>
    <row r="710">
      <c r="H710" s="28">
        <f>E710&amp;"_"&amp;F710</f>
        <v/>
      </c>
    </row>
    <row r="711">
      <c r="H711" s="28">
        <f>E711&amp;"_"&amp;F711</f>
        <v/>
      </c>
    </row>
    <row r="712">
      <c r="H712" s="28">
        <f>E712&amp;"_"&amp;F712</f>
        <v/>
      </c>
    </row>
    <row r="713">
      <c r="H713" s="28">
        <f>E713&amp;"_"&amp;F713</f>
        <v/>
      </c>
    </row>
    <row r="714">
      <c r="H714" s="28">
        <f>E714&amp;"_"&amp;F714</f>
        <v/>
      </c>
    </row>
    <row r="715">
      <c r="H715" s="28">
        <f>E715&amp;"_"&amp;F715</f>
        <v/>
      </c>
    </row>
    <row r="716">
      <c r="H716" s="28">
        <f>E716&amp;"_"&amp;F716</f>
        <v/>
      </c>
    </row>
    <row r="717">
      <c r="H717" s="28">
        <f>E717&amp;"_"&amp;F717</f>
        <v/>
      </c>
    </row>
    <row r="718">
      <c r="H718" s="28">
        <f>E718&amp;"_"&amp;F718</f>
        <v/>
      </c>
    </row>
    <row r="719">
      <c r="H719" s="28">
        <f>E719&amp;"_"&amp;F719</f>
        <v/>
      </c>
    </row>
    <row r="720">
      <c r="H720" s="28">
        <f>E720&amp;"_"&amp;F720</f>
        <v/>
      </c>
    </row>
    <row r="721">
      <c r="H721" s="28">
        <f>E721&amp;"_"&amp;F721</f>
        <v/>
      </c>
    </row>
    <row r="722">
      <c r="H722" s="28">
        <f>E722&amp;"_"&amp;F722</f>
        <v/>
      </c>
    </row>
    <row r="723">
      <c r="H723" s="28">
        <f>E723&amp;"_"&amp;F723</f>
        <v/>
      </c>
    </row>
    <row r="724">
      <c r="H724" s="28">
        <f>E724&amp;"_"&amp;F724</f>
        <v/>
      </c>
    </row>
    <row r="725">
      <c r="H725" s="28">
        <f>E725&amp;"_"&amp;F725</f>
        <v/>
      </c>
    </row>
    <row r="726">
      <c r="H726" s="28">
        <f>E726&amp;"_"&amp;F726</f>
        <v/>
      </c>
    </row>
    <row r="727">
      <c r="H727" s="28">
        <f>E727&amp;"_"&amp;F727</f>
        <v/>
      </c>
    </row>
    <row r="728">
      <c r="H728" s="28">
        <f>E728&amp;"_"&amp;F728</f>
        <v/>
      </c>
    </row>
    <row r="729">
      <c r="H729" s="28">
        <f>E729&amp;"_"&amp;F729</f>
        <v/>
      </c>
    </row>
    <row r="730">
      <c r="H730" s="28">
        <f>E730&amp;"_"&amp;F730</f>
        <v/>
      </c>
    </row>
    <row r="731">
      <c r="H731" s="28">
        <f>E731&amp;"_"&amp;F731</f>
        <v/>
      </c>
    </row>
    <row r="732">
      <c r="H732" s="28">
        <f>E732&amp;"_"&amp;F732</f>
        <v/>
      </c>
    </row>
    <row r="733">
      <c r="H733" s="28">
        <f>E733&amp;"_"&amp;F733</f>
        <v/>
      </c>
    </row>
    <row r="734">
      <c r="H734" s="28">
        <f>E734&amp;"_"&amp;F734</f>
        <v/>
      </c>
    </row>
    <row r="735">
      <c r="H735" s="28">
        <f>E735&amp;"_"&amp;F735</f>
        <v/>
      </c>
    </row>
    <row r="736">
      <c r="H736" s="28">
        <f>E736&amp;"_"&amp;F736</f>
        <v/>
      </c>
    </row>
    <row r="737">
      <c r="H737" s="28">
        <f>E737&amp;"_"&amp;F737</f>
        <v/>
      </c>
    </row>
    <row r="738">
      <c r="H738" s="28">
        <f>E738&amp;"_"&amp;F738</f>
        <v/>
      </c>
    </row>
    <row r="739">
      <c r="H739" s="28">
        <f>E739&amp;"_"&amp;F739</f>
        <v/>
      </c>
    </row>
    <row r="740">
      <c r="H740" s="28">
        <f>E740&amp;"_"&amp;F740</f>
        <v/>
      </c>
    </row>
    <row r="741">
      <c r="H741" s="28">
        <f>E741&amp;"_"&amp;F741</f>
        <v/>
      </c>
    </row>
    <row r="742">
      <c r="H742" s="28">
        <f>E742&amp;"_"&amp;F742</f>
        <v/>
      </c>
    </row>
    <row r="743">
      <c r="H743" s="28">
        <f>E743&amp;"_"&amp;F743</f>
        <v/>
      </c>
    </row>
    <row r="744">
      <c r="H744" s="28">
        <f>E744&amp;"_"&amp;F744</f>
        <v/>
      </c>
    </row>
    <row r="745">
      <c r="H745" s="28">
        <f>E745&amp;"_"&amp;F745</f>
        <v/>
      </c>
    </row>
    <row r="746">
      <c r="H746" s="28">
        <f>E746&amp;"_"&amp;F746</f>
        <v/>
      </c>
    </row>
    <row r="747">
      <c r="H747" s="28">
        <f>E747&amp;"_"&amp;F747</f>
        <v/>
      </c>
    </row>
    <row r="748">
      <c r="H748" s="28">
        <f>E748&amp;"_"&amp;F748</f>
        <v/>
      </c>
    </row>
    <row r="749">
      <c r="H749" s="28">
        <f>E749&amp;"_"&amp;F749</f>
        <v/>
      </c>
    </row>
    <row r="750">
      <c r="H750" s="28">
        <f>E750&amp;"_"&amp;F750</f>
        <v/>
      </c>
    </row>
    <row r="751">
      <c r="H751" s="28">
        <f>E751&amp;"_"&amp;F751</f>
        <v/>
      </c>
    </row>
    <row r="752">
      <c r="H752" s="28">
        <f>E752&amp;"_"&amp;F752</f>
        <v/>
      </c>
    </row>
    <row r="753">
      <c r="H753" s="28">
        <f>E753&amp;"_"&amp;F753</f>
        <v/>
      </c>
    </row>
    <row r="754">
      <c r="H754" s="28">
        <f>E754&amp;"_"&amp;F754</f>
        <v/>
      </c>
    </row>
    <row r="755">
      <c r="H755" s="28">
        <f>E755&amp;"_"&amp;F755</f>
        <v/>
      </c>
    </row>
    <row r="756">
      <c r="H756" s="28">
        <f>E756&amp;"_"&amp;F756</f>
        <v/>
      </c>
    </row>
    <row r="757">
      <c r="H757" s="28">
        <f>E757&amp;"_"&amp;F757</f>
        <v/>
      </c>
    </row>
    <row r="758">
      <c r="H758" s="28">
        <f>E758&amp;"_"&amp;F758</f>
        <v/>
      </c>
    </row>
    <row r="759">
      <c r="H759" s="28">
        <f>E759&amp;"_"&amp;F759</f>
        <v/>
      </c>
    </row>
    <row r="760">
      <c r="H760" s="28">
        <f>E760&amp;"_"&amp;F760</f>
        <v/>
      </c>
    </row>
    <row r="761">
      <c r="H761" s="28">
        <f>E761&amp;"_"&amp;F761</f>
        <v/>
      </c>
    </row>
    <row r="762">
      <c r="H762" s="28">
        <f>E762&amp;"_"&amp;F762</f>
        <v/>
      </c>
    </row>
    <row r="763">
      <c r="H763" s="28">
        <f>E763&amp;"_"&amp;F763</f>
        <v/>
      </c>
    </row>
    <row r="764">
      <c r="H764" s="28">
        <f>E764&amp;"_"&amp;F764</f>
        <v/>
      </c>
    </row>
    <row r="765">
      <c r="H765" s="28">
        <f>E765&amp;"_"&amp;F765</f>
        <v/>
      </c>
    </row>
    <row r="766">
      <c r="H766" s="28">
        <f>E766&amp;"_"&amp;F766</f>
        <v/>
      </c>
    </row>
    <row r="767">
      <c r="H767" s="28">
        <f>E767&amp;"_"&amp;F767</f>
        <v/>
      </c>
    </row>
    <row r="768">
      <c r="H768" s="28">
        <f>E768&amp;"_"&amp;F768</f>
        <v/>
      </c>
    </row>
    <row r="769">
      <c r="H769" s="28">
        <f>E769&amp;"_"&amp;F769</f>
        <v/>
      </c>
    </row>
    <row r="770">
      <c r="H770" s="28">
        <f>E770&amp;"_"&amp;F770</f>
        <v/>
      </c>
    </row>
    <row r="771">
      <c r="H771" s="28">
        <f>E771&amp;"_"&amp;F771</f>
        <v/>
      </c>
    </row>
    <row r="772">
      <c r="H772" s="28">
        <f>E772&amp;"_"&amp;F772</f>
        <v/>
      </c>
    </row>
    <row r="773">
      <c r="H773" s="28">
        <f>E773&amp;"_"&amp;F773</f>
        <v/>
      </c>
    </row>
    <row r="774">
      <c r="H774" s="28">
        <f>E774&amp;"_"&amp;F774</f>
        <v/>
      </c>
    </row>
    <row r="775">
      <c r="H775" s="28">
        <f>E775&amp;"_"&amp;F775</f>
        <v/>
      </c>
    </row>
    <row r="776">
      <c r="H776" s="28">
        <f>E776&amp;"_"&amp;F776</f>
        <v/>
      </c>
    </row>
    <row r="777">
      <c r="H777" s="28">
        <f>E777&amp;"_"&amp;F777</f>
        <v/>
      </c>
    </row>
    <row r="778">
      <c r="H778" s="28">
        <f>E778&amp;"_"&amp;F778</f>
        <v/>
      </c>
    </row>
    <row r="779">
      <c r="H779" s="28">
        <f>E779&amp;"_"&amp;F779</f>
        <v/>
      </c>
    </row>
    <row r="780">
      <c r="H780" s="28">
        <f>E780&amp;"_"&amp;F780</f>
        <v/>
      </c>
    </row>
    <row r="781">
      <c r="H781" s="28">
        <f>E781&amp;"_"&amp;F781</f>
        <v/>
      </c>
    </row>
    <row r="782">
      <c r="H782" s="28">
        <f>E782&amp;"_"&amp;F782</f>
        <v/>
      </c>
    </row>
    <row r="783">
      <c r="H783" s="28">
        <f>E783&amp;"_"&amp;F783</f>
        <v/>
      </c>
    </row>
    <row r="784">
      <c r="H784" s="28">
        <f>E784&amp;"_"&amp;F784</f>
        <v/>
      </c>
    </row>
    <row r="785">
      <c r="H785" s="28">
        <f>E785&amp;"_"&amp;F785</f>
        <v/>
      </c>
    </row>
    <row r="786">
      <c r="H786" s="28">
        <f>E786&amp;"_"&amp;F786</f>
        <v/>
      </c>
    </row>
    <row r="787">
      <c r="H787" s="28">
        <f>E787&amp;"_"&amp;F787</f>
        <v/>
      </c>
    </row>
    <row r="788">
      <c r="H788" s="28">
        <f>E788&amp;"_"&amp;F788</f>
        <v/>
      </c>
    </row>
    <row r="789">
      <c r="H789" s="28">
        <f>E789&amp;"_"&amp;F789</f>
        <v/>
      </c>
    </row>
    <row r="790">
      <c r="H790" s="28">
        <f>E790&amp;"_"&amp;F790</f>
        <v/>
      </c>
    </row>
    <row r="791">
      <c r="H791" s="28">
        <f>E791&amp;"_"&amp;F791</f>
        <v/>
      </c>
    </row>
    <row r="792">
      <c r="H792" s="28">
        <f>E792&amp;"_"&amp;F792</f>
        <v/>
      </c>
    </row>
    <row r="793">
      <c r="H793" s="28">
        <f>E793&amp;"_"&amp;F793</f>
        <v/>
      </c>
    </row>
    <row r="794">
      <c r="H794" s="28">
        <f>E794&amp;"_"&amp;F794</f>
        <v/>
      </c>
    </row>
    <row r="795">
      <c r="H795" s="28">
        <f>E795&amp;"_"&amp;F795</f>
        <v/>
      </c>
    </row>
    <row r="796">
      <c r="H796" s="28">
        <f>E796&amp;"_"&amp;F796</f>
        <v/>
      </c>
    </row>
    <row r="797">
      <c r="H797" s="28">
        <f>E797&amp;"_"&amp;F797</f>
        <v/>
      </c>
    </row>
    <row r="798">
      <c r="H798" s="28">
        <f>E798&amp;"_"&amp;F798</f>
        <v/>
      </c>
    </row>
    <row r="799">
      <c r="H799" s="28">
        <f>E799&amp;"_"&amp;F799</f>
        <v/>
      </c>
    </row>
    <row r="800">
      <c r="H800" s="28">
        <f>E800&amp;"_"&amp;F800</f>
        <v/>
      </c>
    </row>
    <row r="801">
      <c r="H801" s="28">
        <f>E801&amp;"_"&amp;F801</f>
        <v/>
      </c>
    </row>
    <row r="802">
      <c r="H802" s="28">
        <f>E802&amp;"_"&amp;F802</f>
        <v/>
      </c>
    </row>
    <row r="803">
      <c r="H803" s="28">
        <f>E803&amp;"_"&amp;F803</f>
        <v/>
      </c>
    </row>
    <row r="804">
      <c r="H804" s="28">
        <f>E804&amp;"_"&amp;F804</f>
        <v/>
      </c>
    </row>
    <row r="805">
      <c r="H805" s="28">
        <f>E805&amp;"_"&amp;F805</f>
        <v/>
      </c>
    </row>
    <row r="806">
      <c r="H806" s="28">
        <f>E806&amp;"_"&amp;F806</f>
        <v/>
      </c>
    </row>
    <row r="807">
      <c r="H807" s="28">
        <f>E807&amp;"_"&amp;F807</f>
        <v/>
      </c>
    </row>
    <row r="808">
      <c r="H808" s="28">
        <f>E808&amp;"_"&amp;F808</f>
        <v/>
      </c>
    </row>
    <row r="809">
      <c r="H809" s="28">
        <f>E809&amp;"_"&amp;F809</f>
        <v/>
      </c>
    </row>
    <row r="810">
      <c r="H810" s="28">
        <f>E810&amp;"_"&amp;F810</f>
        <v/>
      </c>
    </row>
    <row r="811">
      <c r="H811" s="28">
        <f>E811&amp;"_"&amp;F811</f>
        <v/>
      </c>
    </row>
    <row r="812">
      <c r="H812" s="28">
        <f>E812&amp;"_"&amp;F812</f>
        <v/>
      </c>
    </row>
    <row r="813">
      <c r="H813" s="28">
        <f>E813&amp;"_"&amp;F813</f>
        <v/>
      </c>
    </row>
    <row r="814">
      <c r="H814" s="28">
        <f>E814&amp;"_"&amp;F814</f>
        <v/>
      </c>
    </row>
    <row r="815">
      <c r="H815" s="28">
        <f>E815&amp;"_"&amp;F815</f>
        <v/>
      </c>
    </row>
    <row r="816">
      <c r="H816" s="28">
        <f>E816&amp;"_"&amp;F816</f>
        <v/>
      </c>
    </row>
    <row r="817">
      <c r="H817" s="28">
        <f>E817&amp;"_"&amp;F817</f>
        <v/>
      </c>
    </row>
    <row r="818">
      <c r="H818" s="28">
        <f>E818&amp;"_"&amp;F818</f>
        <v/>
      </c>
    </row>
    <row r="819">
      <c r="H819" s="28">
        <f>E819&amp;"_"&amp;F819</f>
        <v/>
      </c>
    </row>
    <row r="820">
      <c r="H820" s="28">
        <f>E820&amp;"_"&amp;F820</f>
        <v/>
      </c>
    </row>
    <row r="821">
      <c r="H821" s="28">
        <f>E821&amp;"_"&amp;F821</f>
        <v/>
      </c>
    </row>
    <row r="822">
      <c r="H822" s="28">
        <f>E822&amp;"_"&amp;F822</f>
        <v/>
      </c>
    </row>
    <row r="823">
      <c r="H823" s="28">
        <f>E823&amp;"_"&amp;F823</f>
        <v/>
      </c>
    </row>
    <row r="824">
      <c r="H824" s="28">
        <f>E824&amp;"_"&amp;F824</f>
        <v/>
      </c>
    </row>
    <row r="825">
      <c r="H825" s="28">
        <f>E825&amp;"_"&amp;F825</f>
        <v/>
      </c>
    </row>
    <row r="826">
      <c r="H826" s="28">
        <f>E826&amp;"_"&amp;F826</f>
        <v/>
      </c>
    </row>
    <row r="827">
      <c r="H827" s="28">
        <f>E827&amp;"_"&amp;F827</f>
        <v/>
      </c>
    </row>
    <row r="828">
      <c r="H828" s="28">
        <f>E828&amp;"_"&amp;F828</f>
        <v/>
      </c>
    </row>
    <row r="829">
      <c r="H829" s="28">
        <f>E829&amp;"_"&amp;F829</f>
        <v/>
      </c>
    </row>
    <row r="830">
      <c r="H830" s="28">
        <f>E830&amp;"_"&amp;F830</f>
        <v/>
      </c>
    </row>
    <row r="831">
      <c r="H831" s="28">
        <f>E831&amp;"_"&amp;F831</f>
        <v/>
      </c>
    </row>
    <row r="832">
      <c r="H832" s="28">
        <f>E832&amp;"_"&amp;F832</f>
        <v/>
      </c>
    </row>
    <row r="833">
      <c r="H833" s="28">
        <f>E833&amp;"_"&amp;F833</f>
        <v/>
      </c>
    </row>
    <row r="834">
      <c r="H834" s="28">
        <f>E834&amp;"_"&amp;F834</f>
        <v/>
      </c>
    </row>
    <row r="835">
      <c r="H835" s="28">
        <f>E835&amp;"_"&amp;F835</f>
        <v/>
      </c>
    </row>
    <row r="836">
      <c r="H836" s="28">
        <f>E836&amp;"_"&amp;F836</f>
        <v/>
      </c>
    </row>
    <row r="837">
      <c r="H837" s="28">
        <f>E837&amp;"_"&amp;F837</f>
        <v/>
      </c>
    </row>
    <row r="838">
      <c r="H838" s="28">
        <f>E838&amp;"_"&amp;F838</f>
        <v/>
      </c>
    </row>
    <row r="839">
      <c r="H839" s="28">
        <f>E839&amp;"_"&amp;F839</f>
        <v/>
      </c>
    </row>
    <row r="840">
      <c r="H840" s="28">
        <f>E840&amp;"_"&amp;F840</f>
        <v/>
      </c>
    </row>
    <row r="841">
      <c r="H841" s="28">
        <f>E841&amp;"_"&amp;F841</f>
        <v/>
      </c>
    </row>
    <row r="842">
      <c r="H842" s="28">
        <f>E842&amp;"_"&amp;F842</f>
        <v/>
      </c>
    </row>
    <row r="843">
      <c r="H843" s="28">
        <f>E843&amp;"_"&amp;F843</f>
        <v/>
      </c>
    </row>
    <row r="844">
      <c r="H844" s="28">
        <f>E844&amp;"_"&amp;F844</f>
        <v/>
      </c>
    </row>
    <row r="845">
      <c r="H845" s="28">
        <f>E845&amp;"_"&amp;F845</f>
        <v/>
      </c>
    </row>
    <row r="846">
      <c r="H846" s="28">
        <f>E846&amp;"_"&amp;F846</f>
        <v/>
      </c>
    </row>
    <row r="847">
      <c r="H847" s="28">
        <f>E847&amp;"_"&amp;F847</f>
        <v/>
      </c>
    </row>
    <row r="848">
      <c r="H848" s="28">
        <f>E848&amp;"_"&amp;F848</f>
        <v/>
      </c>
    </row>
    <row r="849">
      <c r="H849" s="28">
        <f>E849&amp;"_"&amp;F849</f>
        <v/>
      </c>
    </row>
    <row r="850">
      <c r="H850" s="28">
        <f>E850&amp;"_"&amp;F850</f>
        <v/>
      </c>
    </row>
    <row r="851">
      <c r="H851" s="28">
        <f>E851&amp;"_"&amp;F851</f>
        <v/>
      </c>
    </row>
    <row r="852">
      <c r="H852" s="28">
        <f>E852&amp;"_"&amp;F852</f>
        <v/>
      </c>
    </row>
    <row r="853">
      <c r="H853" s="28">
        <f>E853&amp;"_"&amp;F853</f>
        <v/>
      </c>
    </row>
    <row r="854">
      <c r="H854" s="28">
        <f>E854&amp;"_"&amp;F854</f>
        <v/>
      </c>
    </row>
    <row r="855">
      <c r="H855" s="28">
        <f>E855&amp;"_"&amp;F855</f>
        <v/>
      </c>
    </row>
    <row r="856">
      <c r="H856" s="28">
        <f>E856&amp;"_"&amp;F856</f>
        <v/>
      </c>
    </row>
    <row r="857">
      <c r="H857" s="28">
        <f>E857&amp;"_"&amp;F857</f>
        <v/>
      </c>
    </row>
    <row r="858">
      <c r="H858" s="28">
        <f>E858&amp;"_"&amp;F858</f>
        <v/>
      </c>
    </row>
    <row r="859">
      <c r="H859" s="28">
        <f>E859&amp;"_"&amp;F859</f>
        <v/>
      </c>
    </row>
    <row r="860">
      <c r="H860" s="28">
        <f>E860&amp;"_"&amp;F860</f>
        <v/>
      </c>
    </row>
    <row r="861">
      <c r="H861" s="28">
        <f>E861&amp;"_"&amp;F861</f>
        <v/>
      </c>
    </row>
    <row r="862">
      <c r="H862" s="28">
        <f>E862&amp;"_"&amp;F862</f>
        <v/>
      </c>
    </row>
    <row r="863">
      <c r="H863" s="28">
        <f>E863&amp;"_"&amp;F863</f>
        <v/>
      </c>
    </row>
    <row r="864">
      <c r="H864" s="28">
        <f>E864&amp;"_"&amp;F864</f>
        <v/>
      </c>
    </row>
    <row r="865">
      <c r="H865" s="28">
        <f>E865&amp;"_"&amp;F865</f>
        <v/>
      </c>
    </row>
    <row r="866">
      <c r="H866" s="28">
        <f>E866&amp;"_"&amp;F866</f>
        <v/>
      </c>
    </row>
    <row r="867">
      <c r="H867" s="28">
        <f>E867&amp;"_"&amp;F867</f>
        <v/>
      </c>
    </row>
    <row r="868">
      <c r="H868" s="28">
        <f>E868&amp;"_"&amp;F868</f>
        <v/>
      </c>
    </row>
    <row r="869">
      <c r="H869" s="28">
        <f>E869&amp;"_"&amp;F869</f>
        <v/>
      </c>
    </row>
    <row r="870">
      <c r="H870" s="28">
        <f>E870&amp;"_"&amp;F870</f>
        <v/>
      </c>
    </row>
    <row r="871">
      <c r="H871" s="28">
        <f>E871&amp;"_"&amp;F871</f>
        <v/>
      </c>
    </row>
    <row r="872">
      <c r="H872" s="28">
        <f>E872&amp;"_"&amp;F872</f>
        <v/>
      </c>
    </row>
    <row r="873">
      <c r="H873" s="28">
        <f>E873&amp;"_"&amp;F873</f>
        <v/>
      </c>
    </row>
    <row r="874">
      <c r="H874" s="28">
        <f>E874&amp;"_"&amp;F874</f>
        <v/>
      </c>
    </row>
    <row r="875">
      <c r="H875" s="28">
        <f>E875&amp;"_"&amp;F875</f>
        <v/>
      </c>
    </row>
    <row r="876">
      <c r="H876" s="28">
        <f>E876&amp;"_"&amp;F876</f>
        <v/>
      </c>
    </row>
    <row r="877">
      <c r="H877" s="28">
        <f>E877&amp;"_"&amp;F877</f>
        <v/>
      </c>
    </row>
    <row r="878">
      <c r="H878" s="28">
        <f>E878&amp;"_"&amp;F878</f>
        <v/>
      </c>
    </row>
    <row r="879">
      <c r="H879" s="28">
        <f>E879&amp;"_"&amp;F879</f>
        <v/>
      </c>
    </row>
    <row r="880">
      <c r="H880" s="28">
        <f>E880&amp;"_"&amp;F880</f>
        <v/>
      </c>
    </row>
    <row r="881">
      <c r="H881" s="28">
        <f>E881&amp;"_"&amp;F881</f>
        <v/>
      </c>
    </row>
    <row r="882">
      <c r="H882" s="28">
        <f>E882&amp;"_"&amp;F882</f>
        <v/>
      </c>
    </row>
    <row r="883">
      <c r="H883" s="28">
        <f>E883&amp;"_"&amp;F883</f>
        <v/>
      </c>
    </row>
    <row r="884">
      <c r="H884" s="28">
        <f>E884&amp;"_"&amp;F884</f>
        <v/>
      </c>
    </row>
    <row r="885">
      <c r="H885" s="28">
        <f>E885&amp;"_"&amp;F885</f>
        <v/>
      </c>
    </row>
    <row r="886">
      <c r="H886" s="28">
        <f>E886&amp;"_"&amp;F886</f>
        <v/>
      </c>
    </row>
    <row r="887">
      <c r="H887" s="28">
        <f>E887&amp;"_"&amp;F887</f>
        <v/>
      </c>
    </row>
    <row r="888">
      <c r="H888" s="28">
        <f>E888&amp;"_"&amp;F888</f>
        <v/>
      </c>
    </row>
    <row r="889">
      <c r="H889" s="28">
        <f>E889&amp;"_"&amp;F889</f>
        <v/>
      </c>
    </row>
    <row r="890">
      <c r="H890" s="28">
        <f>E890&amp;"_"&amp;F890</f>
        <v/>
      </c>
    </row>
    <row r="891">
      <c r="H891" s="28">
        <f>E891&amp;"_"&amp;F891</f>
        <v/>
      </c>
    </row>
    <row r="892">
      <c r="H892" s="28">
        <f>E892&amp;"_"&amp;F892</f>
        <v/>
      </c>
    </row>
    <row r="893">
      <c r="H893" s="28">
        <f>E893&amp;"_"&amp;F893</f>
        <v/>
      </c>
    </row>
    <row r="894">
      <c r="H894" s="28">
        <f>E894&amp;"_"&amp;F894</f>
        <v/>
      </c>
    </row>
    <row r="895">
      <c r="H895" s="28">
        <f>E895&amp;"_"&amp;F895</f>
        <v/>
      </c>
    </row>
    <row r="896">
      <c r="H896" s="28">
        <f>E896&amp;"_"&amp;F896</f>
        <v/>
      </c>
    </row>
    <row r="897">
      <c r="H897" s="28">
        <f>E897&amp;"_"&amp;F897</f>
        <v/>
      </c>
    </row>
    <row r="898">
      <c r="H898" s="28">
        <f>E898&amp;"_"&amp;F898</f>
        <v/>
      </c>
    </row>
    <row r="899">
      <c r="H899" s="28">
        <f>E899&amp;"_"&amp;F899</f>
        <v/>
      </c>
    </row>
    <row r="900">
      <c r="H900" s="28">
        <f>E900&amp;"_"&amp;F900</f>
        <v/>
      </c>
    </row>
    <row r="901">
      <c r="H901" s="28">
        <f>E901&amp;"_"&amp;F901</f>
        <v/>
      </c>
    </row>
    <row r="902">
      <c r="H902" s="28">
        <f>E902&amp;"_"&amp;F902</f>
        <v/>
      </c>
    </row>
    <row r="903">
      <c r="H903" s="28">
        <f>E903&amp;"_"&amp;F903</f>
        <v/>
      </c>
    </row>
    <row r="904">
      <c r="H904" s="28">
        <f>E904&amp;"_"&amp;F904</f>
        <v/>
      </c>
    </row>
    <row r="905">
      <c r="H905" s="28">
        <f>E905&amp;"_"&amp;F905</f>
        <v/>
      </c>
    </row>
    <row r="906">
      <c r="H906" s="28">
        <f>E906&amp;"_"&amp;F906</f>
        <v/>
      </c>
    </row>
    <row r="907">
      <c r="H907" s="28">
        <f>E907&amp;"_"&amp;F907</f>
        <v/>
      </c>
    </row>
    <row r="908">
      <c r="H908" s="28">
        <f>E908&amp;"_"&amp;F908</f>
        <v/>
      </c>
    </row>
    <row r="909">
      <c r="H909" s="28">
        <f>E909&amp;"_"&amp;F909</f>
        <v/>
      </c>
    </row>
    <row r="910">
      <c r="H910" s="28">
        <f>E910&amp;"_"&amp;F910</f>
        <v/>
      </c>
    </row>
    <row r="911">
      <c r="H911" s="28">
        <f>E911&amp;"_"&amp;F911</f>
        <v/>
      </c>
    </row>
    <row r="912">
      <c r="H912" s="28">
        <f>E912&amp;"_"&amp;F912</f>
        <v/>
      </c>
    </row>
    <row r="913">
      <c r="H913" s="28">
        <f>E913&amp;"_"&amp;F913</f>
        <v/>
      </c>
    </row>
    <row r="914">
      <c r="H914" s="28">
        <f>E914&amp;"_"&amp;F914</f>
        <v/>
      </c>
    </row>
    <row r="915">
      <c r="H915" s="28">
        <f>E915&amp;"_"&amp;F915</f>
        <v/>
      </c>
    </row>
    <row r="916">
      <c r="H916" s="28">
        <f>E916&amp;"_"&amp;F916</f>
        <v/>
      </c>
    </row>
    <row r="917">
      <c r="H917" s="28">
        <f>E917&amp;"_"&amp;F917</f>
        <v/>
      </c>
    </row>
    <row r="918">
      <c r="H918" s="28">
        <f>E918&amp;"_"&amp;F918</f>
        <v/>
      </c>
    </row>
    <row r="919">
      <c r="H919" s="28">
        <f>E919&amp;"_"&amp;F919</f>
        <v/>
      </c>
    </row>
    <row r="920">
      <c r="H920" s="28">
        <f>E920&amp;"_"&amp;F920</f>
        <v/>
      </c>
    </row>
    <row r="921">
      <c r="H921" s="28">
        <f>E921&amp;"_"&amp;F921</f>
        <v/>
      </c>
    </row>
    <row r="922">
      <c r="H922" s="28">
        <f>E922&amp;"_"&amp;F922</f>
        <v/>
      </c>
    </row>
    <row r="923">
      <c r="H923" s="28">
        <f>E923&amp;"_"&amp;F923</f>
        <v/>
      </c>
    </row>
    <row r="924">
      <c r="H924" s="28">
        <f>E924&amp;"_"&amp;F924</f>
        <v/>
      </c>
    </row>
    <row r="925">
      <c r="H925" s="28">
        <f>E925&amp;"_"&amp;F925</f>
        <v/>
      </c>
    </row>
    <row r="926">
      <c r="H926" s="28">
        <f>E926&amp;"_"&amp;F926</f>
        <v/>
      </c>
    </row>
    <row r="927">
      <c r="H927" s="28">
        <f>E927&amp;"_"&amp;F927</f>
        <v/>
      </c>
    </row>
    <row r="928">
      <c r="H928" s="28">
        <f>E928&amp;"_"&amp;F928</f>
        <v/>
      </c>
    </row>
    <row r="929">
      <c r="H929" s="28">
        <f>E929&amp;"_"&amp;F929</f>
        <v/>
      </c>
    </row>
    <row r="930">
      <c r="H930" s="28">
        <f>E930&amp;"_"&amp;F930</f>
        <v/>
      </c>
    </row>
    <row r="931">
      <c r="H931" s="28">
        <f>E931&amp;"_"&amp;F931</f>
        <v/>
      </c>
    </row>
    <row r="932">
      <c r="H932" s="28">
        <f>E932&amp;"_"&amp;F932</f>
        <v/>
      </c>
    </row>
    <row r="933">
      <c r="H933" s="28">
        <f>E933&amp;"_"&amp;F933</f>
        <v/>
      </c>
    </row>
    <row r="934">
      <c r="H934" s="28">
        <f>E934&amp;"_"&amp;F934</f>
        <v/>
      </c>
    </row>
    <row r="935">
      <c r="H935" s="28">
        <f>E935&amp;"_"&amp;F935</f>
        <v/>
      </c>
    </row>
    <row r="936">
      <c r="H936" s="28">
        <f>E936&amp;"_"&amp;F936</f>
        <v/>
      </c>
    </row>
    <row r="937">
      <c r="H937" s="28">
        <f>E937&amp;"_"&amp;F937</f>
        <v/>
      </c>
    </row>
    <row r="938">
      <c r="H938" s="28">
        <f>E938&amp;"_"&amp;F938</f>
        <v/>
      </c>
    </row>
    <row r="939">
      <c r="H939" s="28">
        <f>E939&amp;"_"&amp;F939</f>
        <v/>
      </c>
    </row>
    <row r="940">
      <c r="H940" s="28">
        <f>E940&amp;"_"&amp;F940</f>
        <v/>
      </c>
    </row>
    <row r="941">
      <c r="H941" s="28">
        <f>E941&amp;"_"&amp;F941</f>
        <v/>
      </c>
    </row>
    <row r="942">
      <c r="H942" s="28">
        <f>E942&amp;"_"&amp;F942</f>
        <v/>
      </c>
    </row>
    <row r="943">
      <c r="H943" s="28">
        <f>E943&amp;"_"&amp;F943</f>
        <v/>
      </c>
    </row>
    <row r="944">
      <c r="H944" s="28">
        <f>E944&amp;"_"&amp;F944</f>
        <v/>
      </c>
    </row>
    <row r="945">
      <c r="H945" s="28">
        <f>E945&amp;"_"&amp;F945</f>
        <v/>
      </c>
    </row>
    <row r="946">
      <c r="H946" s="28">
        <f>E946&amp;"_"&amp;F946</f>
        <v/>
      </c>
    </row>
    <row r="947">
      <c r="H947" s="28">
        <f>E947&amp;"_"&amp;F947</f>
        <v/>
      </c>
    </row>
    <row r="948">
      <c r="H948" s="28">
        <f>E948&amp;"_"&amp;F948</f>
        <v/>
      </c>
    </row>
    <row r="949">
      <c r="H949" s="28">
        <f>E949&amp;"_"&amp;F949</f>
        <v/>
      </c>
    </row>
    <row r="950">
      <c r="H950" s="28">
        <f>E950&amp;"_"&amp;F950</f>
        <v/>
      </c>
    </row>
    <row r="951">
      <c r="H951" s="28">
        <f>E951&amp;"_"&amp;F951</f>
        <v/>
      </c>
    </row>
    <row r="952">
      <c r="H952" s="28">
        <f>E952&amp;"_"&amp;F952</f>
        <v/>
      </c>
    </row>
    <row r="953">
      <c r="H953" s="28">
        <f>E953&amp;"_"&amp;F953</f>
        <v/>
      </c>
    </row>
    <row r="954">
      <c r="H954" s="28">
        <f>E954&amp;"_"&amp;F954</f>
        <v/>
      </c>
    </row>
    <row r="955">
      <c r="H955" s="28">
        <f>E955&amp;"_"&amp;F955</f>
        <v/>
      </c>
    </row>
    <row r="956">
      <c r="H956" s="28">
        <f>E956&amp;"_"&amp;F956</f>
        <v/>
      </c>
    </row>
    <row r="957">
      <c r="H957" s="28">
        <f>E957&amp;"_"&amp;F957</f>
        <v/>
      </c>
    </row>
    <row r="958">
      <c r="H958" s="28">
        <f>E958&amp;"_"&amp;F958</f>
        <v/>
      </c>
    </row>
    <row r="959">
      <c r="H959" s="28">
        <f>E959&amp;"_"&amp;F959</f>
        <v/>
      </c>
    </row>
    <row r="960">
      <c r="H960" s="28">
        <f>E960&amp;"_"&amp;F960</f>
        <v/>
      </c>
    </row>
    <row r="961">
      <c r="H961" s="28">
        <f>E961&amp;"_"&amp;F961</f>
        <v/>
      </c>
    </row>
    <row r="962">
      <c r="H962" s="28">
        <f>E962&amp;"_"&amp;F962</f>
        <v/>
      </c>
    </row>
    <row r="963">
      <c r="H963" s="28">
        <f>E963&amp;"_"&amp;F963</f>
        <v/>
      </c>
    </row>
    <row r="964">
      <c r="H964" s="28">
        <f>E964&amp;"_"&amp;F964</f>
        <v/>
      </c>
    </row>
    <row r="965">
      <c r="H965" s="28">
        <f>E965&amp;"_"&amp;F965</f>
        <v/>
      </c>
    </row>
    <row r="966">
      <c r="H966" s="28">
        <f>E966&amp;"_"&amp;F966</f>
        <v/>
      </c>
    </row>
    <row r="967">
      <c r="H967" s="28">
        <f>E967&amp;"_"&amp;F967</f>
        <v/>
      </c>
    </row>
    <row r="968">
      <c r="H968" s="28">
        <f>E968&amp;"_"&amp;F968</f>
        <v/>
      </c>
    </row>
    <row r="969">
      <c r="H969" s="28">
        <f>E969&amp;"_"&amp;F969</f>
        <v/>
      </c>
    </row>
    <row r="970">
      <c r="H970" s="28">
        <f>E970&amp;"_"&amp;F970</f>
        <v/>
      </c>
    </row>
    <row r="971">
      <c r="H971" s="28">
        <f>E971&amp;"_"&amp;F971</f>
        <v/>
      </c>
    </row>
    <row r="972">
      <c r="H972" s="28">
        <f>E972&amp;"_"&amp;F972</f>
        <v/>
      </c>
    </row>
    <row r="973">
      <c r="H973" s="28">
        <f>E973&amp;"_"&amp;F973</f>
        <v/>
      </c>
    </row>
    <row r="974">
      <c r="H974" s="28">
        <f>E974&amp;"_"&amp;F974</f>
        <v/>
      </c>
    </row>
    <row r="975">
      <c r="H975" s="28">
        <f>E975&amp;"_"&amp;F975</f>
        <v/>
      </c>
    </row>
    <row r="976">
      <c r="H976" s="28">
        <f>E976&amp;"_"&amp;F976</f>
        <v/>
      </c>
    </row>
    <row r="977">
      <c r="H977" s="28">
        <f>E977&amp;"_"&amp;F977</f>
        <v/>
      </c>
    </row>
    <row r="978">
      <c r="H978" s="28">
        <f>E978&amp;"_"&amp;F978</f>
        <v/>
      </c>
    </row>
    <row r="979">
      <c r="H979" s="28">
        <f>E979&amp;"_"&amp;F979</f>
        <v/>
      </c>
    </row>
    <row r="980">
      <c r="H980" s="28">
        <f>E980&amp;"_"&amp;F980</f>
        <v/>
      </c>
    </row>
    <row r="981">
      <c r="H981" s="28">
        <f>E981&amp;"_"&amp;F981</f>
        <v/>
      </c>
    </row>
    <row r="982">
      <c r="H982" s="28">
        <f>E982&amp;"_"&amp;F982</f>
        <v/>
      </c>
    </row>
    <row r="983">
      <c r="H983" s="28">
        <f>E983&amp;"_"&amp;F983</f>
        <v/>
      </c>
    </row>
    <row r="984">
      <c r="H984" s="28">
        <f>E984&amp;"_"&amp;F984</f>
        <v/>
      </c>
    </row>
    <row r="985">
      <c r="H985" s="28">
        <f>E985&amp;"_"&amp;F985</f>
        <v/>
      </c>
    </row>
    <row r="986">
      <c r="H986" s="28">
        <f>E986&amp;"_"&amp;F986</f>
        <v/>
      </c>
    </row>
    <row r="987">
      <c r="H987" s="28">
        <f>E987&amp;"_"&amp;F987</f>
        <v/>
      </c>
    </row>
    <row r="988">
      <c r="H988" s="28">
        <f>E988&amp;"_"&amp;F988</f>
        <v/>
      </c>
    </row>
    <row r="989">
      <c r="H989" s="28">
        <f>E989&amp;"_"&amp;F989</f>
        <v/>
      </c>
    </row>
    <row r="990">
      <c r="H990" s="28">
        <f>E990&amp;"_"&amp;F990</f>
        <v/>
      </c>
    </row>
    <row r="991">
      <c r="H991" s="28">
        <f>E991&amp;"_"&amp;F991</f>
        <v/>
      </c>
    </row>
    <row r="992">
      <c r="H992" s="28">
        <f>E992&amp;"_"&amp;F992</f>
        <v/>
      </c>
    </row>
    <row r="993">
      <c r="H993" s="28">
        <f>E993&amp;"_"&amp;F993</f>
        <v/>
      </c>
    </row>
    <row r="994">
      <c r="H994" s="28">
        <f>E994&amp;"_"&amp;F994</f>
        <v/>
      </c>
    </row>
    <row r="995">
      <c r="H995" s="28">
        <f>E995&amp;"_"&amp;F995</f>
        <v/>
      </c>
    </row>
    <row r="996">
      <c r="H996" s="28">
        <f>E996&amp;"_"&amp;F996</f>
        <v/>
      </c>
    </row>
    <row r="997">
      <c r="H997" s="28">
        <f>E997&amp;"_"&amp;F997</f>
        <v/>
      </c>
    </row>
    <row r="998">
      <c r="H998" s="28">
        <f>E998&amp;"_"&amp;F998</f>
        <v/>
      </c>
    </row>
    <row r="999">
      <c r="H999" s="28">
        <f>E999&amp;"_"&amp;F999</f>
        <v/>
      </c>
    </row>
    <row r="1000">
      <c r="H1000" s="28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zoomScale="85" zoomScaleNormal="85" workbookViewId="0">
      <selection activeCell="B2" sqref="B2"/>
    </sheetView>
  </sheetViews>
  <sheetFormatPr baseColWidth="8" defaultRowHeight="16.5"/>
  <cols>
    <col width="9" customWidth="1" style="28" min="1" max="1"/>
    <col width="45" customWidth="1" style="12" min="4" max="4"/>
    <col width="22.375" bestFit="1" customWidth="1" style="12" min="5" max="5"/>
    <col width="25" customWidth="1" style="12" min="7" max="8"/>
    <col width="50" customWidth="1" style="12" min="9" max="10"/>
    <col width="13.375" customWidth="1" style="12" min="14" max="14"/>
  </cols>
  <sheetData>
    <row r="1" ht="33" customHeight="1" s="12">
      <c r="A1" t="inlineStr">
        <is>
          <t>Key</t>
        </is>
      </c>
      <c r="B1" t="inlineStr">
        <is>
          <t>Manufacturer</t>
        </is>
      </c>
      <c r="C1" t="inlineStr">
        <is>
          <t>Catalog No.</t>
        </is>
      </c>
      <c r="D1" t="inlineStr">
        <is>
          <t>Product Name</t>
        </is>
      </c>
      <c r="E1" t="inlineStr">
        <is>
          <t>CAS No.</t>
        </is>
      </c>
      <c r="F1" t="inlineStr">
        <is>
          <t>Storage Temp.</t>
        </is>
      </c>
      <c r="G1" t="inlineStr">
        <is>
          <t>Sensitivity</t>
        </is>
      </c>
      <c r="H1" t="inlineStr">
        <is>
          <t>Signal Word</t>
        </is>
      </c>
      <c r="I1" t="inlineStr">
        <is>
          <t>Key Hazards</t>
        </is>
      </c>
      <c r="J1" t="inlineStr">
        <is>
          <t>Detailed Hazard Classification</t>
        </is>
      </c>
      <c r="K1" t="inlineStr">
        <is>
          <t>Detail_Link</t>
        </is>
      </c>
      <c r="L1" t="inlineStr">
        <is>
          <t>SDS_Link</t>
        </is>
      </c>
      <c r="M1" t="inlineStr">
        <is>
          <t>SDS_Local_Path</t>
        </is>
      </c>
      <c r="N1" t="inlineStr">
        <is>
          <t>Revision Date</t>
        </is>
      </c>
    </row>
    <row r="2">
      <c r="A2">
        <f>B2&amp;"|"&amp;C2</f>
        <v/>
      </c>
      <c r="B2" t="inlineStr">
        <is>
          <t>1</t>
        </is>
      </c>
      <c r="C2" s="19" t="inlineStr">
        <is>
          <t>1</t>
        </is>
      </c>
      <c r="D2" t="inlineStr">
        <is>
          <t>[ab76003] Anti-MMP9 antibody [EP1254]</t>
        </is>
      </c>
      <c r="E2" t="inlineStr">
        <is>
          <t>Manual Input Required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2026-08-11</t>
        </is>
      </c>
    </row>
    <row r="3">
      <c r="A3">
        <f>B3&amp;"|"&amp;C3</f>
        <v/>
      </c>
      <c r="B3" t="inlineStr">
        <is>
          <t>Aa</t>
        </is>
      </c>
      <c r="C3" s="19" t="inlineStr">
        <is>
          <t>1</t>
        </is>
      </c>
      <c r="D3" t="inlineStr">
        <is>
          <t>[ab76003] Anti-MMP9 antibody [EP1254]</t>
        </is>
      </c>
      <c r="E3" t="inlineStr">
        <is>
          <t>Manual Input Required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2026-08-11</t>
        </is>
      </c>
    </row>
    <row r="4">
      <c r="A4">
        <f>B4&amp;"|"&amp;C4</f>
        <v/>
      </c>
      <c r="B4" t="inlineStr">
        <is>
          <t>Aldrich</t>
        </is>
      </c>
      <c r="C4" s="19" t="inlineStr">
        <is>
          <t>440140</t>
        </is>
      </c>
      <c r="D4" t="inlineStr">
        <is>
          <t>(3-Aminopropyl)triethoxysilane</t>
        </is>
      </c>
      <c r="E4" t="inlineStr">
        <is>
          <t>919-30-2</t>
        </is>
      </c>
      <c r="F4" t="inlineStr">
        <is>
          <t>-</t>
        </is>
      </c>
      <c r="G4" t="inlineStr">
        <is>
          <t>-</t>
        </is>
      </c>
      <c r="H4" t="inlineStr">
        <is>
          <t>● Danger</t>
        </is>
      </c>
      <c r="I4" t="inlineStr">
        <is>
          <t>▲ Corrosive / Eye Damage</t>
        </is>
      </c>
      <c r="J4" t="inlineStr">
        <is>
          <t>H314: Causes severe skin burns and eye damage / H317: May cause an allergic skin reaction / H302: Harmful if swallowed</t>
        </is>
      </c>
      <c r="K4" t="inlineStr">
        <is>
          <t>https://www.sigmaaldrich.com/KR/en/product/aldrich/440140</t>
        </is>
      </c>
      <c r="L4" t="inlineStr">
        <is>
          <t>https://www.sigmaaldrich.com/KR/ko/sds/aldrich/440140</t>
        </is>
      </c>
      <c r="M4" t="inlineStr">
        <is>
          <t>C:\Users\Jeonghun Lee\.gemini\antigravity\scratch\chemical manager\sds\(3-Aminopropyl)triethoxysilane (Aldrich, 440140).pdf</t>
        </is>
      </c>
      <c r="N4" t="inlineStr">
        <is>
          <t>2026-08-11</t>
        </is>
      </c>
    </row>
    <row r="5">
      <c r="A5">
        <f>B5&amp;"|"&amp;C5</f>
        <v/>
      </c>
      <c r="B5" t="inlineStr">
        <is>
          <t>Aldrich</t>
        </is>
      </c>
      <c r="C5" s="19" t="inlineStr">
        <is>
          <t>131377</t>
        </is>
      </c>
      <c r="D5" t="inlineStr">
        <is>
          <t>1,10-Phenanthroline</t>
        </is>
      </c>
      <c r="E5" t="inlineStr">
        <is>
          <t>66-71-7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● Toxic, ■ Environmental Hazard</t>
        </is>
      </c>
      <c r="J5" t="inlineStr">
        <is>
          <t>H410: Very toxic to aquatic life with long lasting effects / H301: Toxic if swallowed</t>
        </is>
      </c>
      <c r="K5" t="inlineStr">
        <is>
          <t>https://www.sigmaaldrich.com/KR/en/product/aldrich/131377</t>
        </is>
      </c>
      <c r="L5" t="inlineStr">
        <is>
          <t>https://www.sigmaaldrich.com/KR/ko/sds/aldrich/131377</t>
        </is>
      </c>
      <c r="M5" t="inlineStr">
        <is>
          <t>C:\Users\Jeonghun Lee\.gemini\antigravity\scratch\chemical manager\sds\1,10-Phenanthroline (Aldrich, 131377).pdf</t>
        </is>
      </c>
      <c r="N5" t="inlineStr">
        <is>
          <t>2026-08-11</t>
        </is>
      </c>
    </row>
    <row r="6">
      <c r="A6">
        <f>B6&amp;"|"&amp;C6</f>
        <v/>
      </c>
      <c r="B6" t="inlineStr">
        <is>
          <t>Aldrich</t>
        </is>
      </c>
      <c r="C6" s="19" t="inlineStr">
        <is>
          <t>659452</t>
        </is>
      </c>
      <c r="D6" t="inlineStr">
        <is>
          <t>1-Adamantanethiol</t>
        </is>
      </c>
      <c r="E6" t="inlineStr">
        <is>
          <t>34301-54-7</t>
        </is>
      </c>
      <c r="F6" t="inlineStr">
        <is>
          <t>-</t>
        </is>
      </c>
      <c r="G6" t="inlineStr">
        <is>
          <t>-</t>
        </is>
      </c>
      <c r="H6" t="inlineStr">
        <is>
          <t>▲ Warning</t>
        </is>
      </c>
      <c r="I6" t="inlineStr">
        <is>
          <t>● Toxic, ◆ Irritant / Sensitizer</t>
        </is>
      </c>
      <c r="J6" t="inlineStr">
        <is>
          <t>H319: Causes serious eye irritation / H301: Toxic if swallowed</t>
        </is>
      </c>
      <c r="K6" t="inlineStr">
        <is>
          <t>https://www.sigmaaldrich.com/KR/en/product/aldrich/659452</t>
        </is>
      </c>
      <c r="L6" t="inlineStr">
        <is>
          <t>https://www.sigmaaldrich.com/KR/ko/sds/aldrich/659452</t>
        </is>
      </c>
      <c r="M6" t="inlineStr">
        <is>
          <t>C:\Users\Jeonghun Lee\.gemini\antigravity\scratch\chemical manager\sds\1-Adamantanethiol (Aldrich, 659452).pdf</t>
        </is>
      </c>
      <c r="N6" t="inlineStr">
        <is>
          <t>2026-08-11</t>
        </is>
      </c>
    </row>
    <row r="7">
      <c r="A7">
        <f>B7&amp;"|"&amp;C7</f>
        <v/>
      </c>
      <c r="B7" t="inlineStr">
        <is>
          <t>Aldrich</t>
        </is>
      </c>
      <c r="C7" s="19" t="inlineStr">
        <is>
          <t>402788</t>
        </is>
      </c>
      <c r="D7" t="inlineStr">
        <is>
          <t>Acetaldehyde</t>
        </is>
      </c>
      <c r="E7" t="inlineStr">
        <is>
          <t>75-07-0</t>
        </is>
      </c>
      <c r="F7" t="inlineStr">
        <is>
          <t>R</t>
        </is>
      </c>
      <c r="G7" t="inlineStr">
        <is>
          <t>-</t>
        </is>
      </c>
      <c r="H7" t="inlineStr">
        <is>
          <t>▲ Warning</t>
        </is>
      </c>
      <c r="I7" t="inlineStr">
        <is>
          <t>★ Flammable, ◆ Irritant / Sensitizer, ▼ Health Hazard</t>
        </is>
      </c>
      <c r="J7" t="inlineStr">
        <is>
          <t>H319: Causes serious eye irritation / H335: May cause respiratory irritation / H341: Suspected of causing genetic defects / H350: May cause cancer / H224: Extremely flammable liquid and vapor</t>
        </is>
      </c>
      <c r="K7" t="inlineStr">
        <is>
          <t>https://www.sigmaaldrich.com/KR/en/product/sial/402788</t>
        </is>
      </c>
      <c r="L7" t="inlineStr">
        <is>
          <t>https://www.sigmaaldrich.com/KR/ko/sds/sial/402788</t>
        </is>
      </c>
      <c r="M7" t="inlineStr">
        <is>
          <t>C:\Users\Jeonghun Lee\.gemini\antigravity\scratch\chemical manager\sds\Acetaldehyde (Aldrich, 402788).pdf</t>
        </is>
      </c>
      <c r="N7" t="inlineStr">
        <is>
          <t>2026-08-11</t>
        </is>
      </c>
    </row>
    <row r="8">
      <c r="A8">
        <f>B8&amp;"|"&amp;C8</f>
        <v/>
      </c>
      <c r="B8" t="inlineStr">
        <is>
          <t>Aldrich</t>
        </is>
      </c>
      <c r="C8" s="19" t="inlineStr">
        <is>
          <t>909270-10G</t>
        </is>
      </c>
      <c r="D8" t="inlineStr">
        <is>
          <t>Acrylic anhydride</t>
        </is>
      </c>
      <c r="E8" t="inlineStr">
        <is>
          <t>2051-76-5</t>
        </is>
      </c>
      <c r="F8" t="inlineStr">
        <is>
          <t>R</t>
        </is>
      </c>
      <c r="G8" t="inlineStr">
        <is>
          <t>-</t>
        </is>
      </c>
      <c r="H8" t="inlineStr">
        <is>
          <t>▲ Warning</t>
        </is>
      </c>
      <c r="I8" t="inlineStr">
        <is>
          <t>◆ Irritant / Sensitizer</t>
        </is>
      </c>
      <c r="J8" t="inlineStr">
        <is>
          <t>H315: Causes skin irritation / H317: May cause an allergic skin reaction / H319: Causes serious eye irritation / H335: May cause respiratory irritation / H302: Harmful if swallowed</t>
        </is>
      </c>
      <c r="K8" t="inlineStr">
        <is>
          <t>https://www.sigmaaldrich.com/KR/en/product/aldrich/909270</t>
        </is>
      </c>
      <c r="L8" t="inlineStr">
        <is>
          <t>https://www.sigmaaldrich.com/KR/ko/sds/aldrich/909270</t>
        </is>
      </c>
      <c r="M8" t="inlineStr">
        <is>
          <t>C:\Users\Jeonghun Lee\.gemini\antigravity\scratch\chemical manager\sds\Acrylic anhydride (Aldrich, 909270).pdf</t>
        </is>
      </c>
      <c r="N8" t="inlineStr">
        <is>
          <t>2026-08-11</t>
        </is>
      </c>
    </row>
    <row r="9">
      <c r="A9">
        <f>B9&amp;"|"&amp;C9</f>
        <v/>
      </c>
      <c r="B9" t="inlineStr">
        <is>
          <t>Aldrich</t>
        </is>
      </c>
      <c r="C9" s="19" t="inlineStr">
        <is>
          <t>803200</t>
        </is>
      </c>
      <c r="D9" t="inlineStr">
        <is>
          <t>DTSSP (3,3′-dithiobis(sulfosuccinimidyl propionate))</t>
        </is>
      </c>
      <c r="E9" t="inlineStr">
        <is>
          <t>81069-02-5</t>
        </is>
      </c>
      <c r="F9" t="inlineStr">
        <is>
          <t>R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https://www.sigmaaldrich.com/KR/en/product/aldrich/803200</t>
        </is>
      </c>
      <c r="L9" t="inlineStr">
        <is>
          <t>https://www.sigmaaldrich.com/KR/ko/sds/aldrich/803200</t>
        </is>
      </c>
      <c r="M9" t="inlineStr">
        <is>
          <t>C:\Users\Jeonghun Lee\.gemini\antigravity\scratch\chemical manager\sds\DTSSP (3,3′-dithiobis(sulfosuccinimidyl propionate)) (Aldrich, 803200).pdf</t>
        </is>
      </c>
      <c r="N9" t="inlineStr">
        <is>
          <t>2026-08-11</t>
        </is>
      </c>
    </row>
    <row r="10">
      <c r="A10">
        <f>B10&amp;"|"&amp;C10</f>
        <v/>
      </c>
      <c r="B10" t="inlineStr">
        <is>
          <t>Aldrich</t>
        </is>
      </c>
      <c r="C10" s="19" t="inlineStr">
        <is>
          <t>359238</t>
        </is>
      </c>
      <c r="D10" t="inlineStr">
        <is>
          <t>Perfluorooctane</t>
        </is>
      </c>
      <c r="E10" t="inlineStr">
        <is>
          <t>307-34-6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https://www.sigmaaldrich.com/KR/en/product/aldrich/359238</t>
        </is>
      </c>
      <c r="L10" t="inlineStr">
        <is>
          <t>https://www.sigmaaldrich.com/KR/ko/sds/aldrich/359238</t>
        </is>
      </c>
      <c r="M10" t="inlineStr">
        <is>
          <t>C:\Users\Jeonghun Lee\.gemini\antigravity\scratch\chemical manager\sds\Perfluorooctane (Aldrich, 359238).pdf</t>
        </is>
      </c>
      <c r="N10" t="inlineStr">
        <is>
          <t>2026-08-11</t>
        </is>
      </c>
    </row>
    <row r="11">
      <c r="A11">
        <f>B11&amp;"|"&amp;C11</f>
        <v/>
      </c>
      <c r="B11" t="inlineStr">
        <is>
          <t>Aldrich</t>
        </is>
      </c>
      <c r="C11" s="19" t="inlineStr">
        <is>
          <t>94884</t>
        </is>
      </c>
      <c r="D11" t="inlineStr">
        <is>
          <t>Search Failed</t>
        </is>
      </c>
      <c r="E11" t="inlineStr">
        <is>
          <t>N/A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2026-08-11</t>
        </is>
      </c>
    </row>
    <row r="12">
      <c r="A12">
        <f>B12&amp;"|"&amp;C12</f>
        <v/>
      </c>
      <c r="B12" t="inlineStr">
        <is>
          <t>Aldrich</t>
        </is>
      </c>
      <c r="C12" s="19" t="inlineStr">
        <is>
          <t>3we3</t>
        </is>
      </c>
      <c r="D12" t="inlineStr">
        <is>
          <t>Search Failed</t>
        </is>
      </c>
      <c r="E12" t="inlineStr">
        <is>
          <t>N/A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2026-08-11</t>
        </is>
      </c>
    </row>
    <row r="13">
      <c r="A13">
        <f>B13&amp;"|"&amp;C13</f>
        <v/>
      </c>
      <c r="B13" t="inlineStr">
        <is>
          <t>Aldrich</t>
        </is>
      </c>
      <c r="C13" s="19" t="inlineStr">
        <is>
          <t>8.02361</t>
        </is>
      </c>
      <c r="D13" t="inlineStr">
        <is>
          <t>p-Chloranil</t>
        </is>
      </c>
      <c r="E13" t="inlineStr">
        <is>
          <t>118-75-2</t>
        </is>
      </c>
      <c r="F13" t="inlineStr">
        <is>
          <t>RT</t>
        </is>
      </c>
      <c r="G13" t="inlineStr">
        <is>
          <t>-</t>
        </is>
      </c>
      <c r="H13" t="inlineStr">
        <is>
          <t>▲ Warning</t>
        </is>
      </c>
      <c r="I13" t="inlineStr">
        <is>
          <t>● Toxic, ▲ Corrosive / Eye Damage, ◆ Irritant / Sensitizer, ■ Environmental Hazard</t>
        </is>
      </c>
      <c r="J13" t="inlineStr">
        <is>
          <t>H317: May cause an allergic skin reaction / H318: Causes serious eye damage / H410: Very toxic to aquatic life with long lasting effects / H315: Causes skin irritation</t>
        </is>
      </c>
      <c r="K13" t="inlineStr">
        <is>
          <t>https://www.sigmaaldrich.com/KR/en/product/mm/802361</t>
        </is>
      </c>
      <c r="L13" t="inlineStr">
        <is>
          <t>https://www.sigmaaldrich.com/KR/ko/sds/mm/8.02361</t>
        </is>
      </c>
      <c r="M13" t="inlineStr">
        <is>
          <t>C:\Users\Jeonghun Lee\.gemini\antigravity\scratch\chemical manager\sds\p-Chloranil (Aldrich, 8.02361).pdf</t>
        </is>
      </c>
      <c r="N13" t="inlineStr">
        <is>
          <t>2026-08-11</t>
        </is>
      </c>
    </row>
    <row r="14">
      <c r="A14">
        <f>B14&amp;"|"&amp;C14</f>
        <v/>
      </c>
      <c r="B14" t="inlineStr">
        <is>
          <t>Fff</t>
        </is>
      </c>
      <c r="C14" s="19" t="inlineStr">
        <is>
          <t>2w5w</t>
        </is>
      </c>
      <c r="D14" t="inlineStr">
        <is>
          <t>[B7651] Brefeldin A</t>
        </is>
      </c>
      <c r="E14" t="inlineStr">
        <is>
          <t>Manual Input Required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2026-08-11</t>
        </is>
      </c>
    </row>
    <row r="15">
      <c r="A15">
        <f>B15&amp;"|"&amp;C15</f>
        <v/>
      </c>
      <c r="B15" t="inlineStr">
        <is>
          <t>TCI</t>
        </is>
      </c>
      <c r="C15" s="19" t="inlineStr">
        <is>
          <t>c0119</t>
        </is>
      </c>
      <c r="D15" t="inlineStr">
        <is>
          <t>1,1'-Carbonyldiimidazole</t>
        </is>
      </c>
      <c r="E15" t="inlineStr">
        <is>
          <t>530-62-1</t>
        </is>
      </c>
      <c r="F15" t="inlineStr">
        <is>
          <t>RT</t>
        </is>
      </c>
      <c r="G15" t="inlineStr">
        <is>
          <t>Moisture Sensitive, Heat Sensitive</t>
        </is>
      </c>
      <c r="H15" t="inlineStr">
        <is>
          <t>● Danger</t>
        </is>
      </c>
      <c r="I15" t="inlineStr">
        <is>
          <t>▲ Corrosive / Eye Damage</t>
        </is>
      </c>
      <c r="J15" t="inlineStr">
        <is>
          <t>H302 : Harmful if swallowed. H314 : Causes severe skin burns and eye damage.</t>
        </is>
      </c>
      <c r="K15" t="inlineStr">
        <is>
          <t>https://www.tcichemicals.com/KR/en/p/c0119</t>
        </is>
      </c>
      <c r="L15" t="inlineStr">
        <is>
          <t>#docomentsSectionPDP</t>
        </is>
      </c>
      <c r="M15" t="inlineStr">
        <is>
          <t>-</t>
        </is>
      </c>
      <c r="N15" t="inlineStr">
        <is>
          <t>2026-08-11</t>
        </is>
      </c>
    </row>
    <row r="16">
      <c r="A16">
        <f>B16&amp;"|"&amp;C16</f>
        <v/>
      </c>
      <c r="B16" t="inlineStr">
        <is>
          <t>ThermoFisher</t>
        </is>
      </c>
      <c r="C16" s="19" t="inlineStr">
        <is>
          <t>704060F</t>
        </is>
      </c>
      <c r="D16" t="inlineStr">
        <is>
          <t>Alexa Fluor 488 Recombinant F(ab)-Rabbit Monoclonal Antibody (15H9L93)</t>
        </is>
      </c>
      <c r="E16" t="inlineStr">
        <is>
          <t>N/A</t>
        </is>
      </c>
      <c r="F16" t="inlineStr">
        <is>
          <t>RT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https://www.thermofisher.com/order/catalog/product/704060F</t>
        </is>
      </c>
      <c r="L16" t="inlineStr">
        <is>
          <t>https://www.thermofisher.com/search/browse/results?term=704060F</t>
        </is>
      </c>
      <c r="M16" t="inlineStr">
        <is>
          <t>-</t>
        </is>
      </c>
      <c r="N16" t="inlineStr">
        <is>
          <t>2026-08-11</t>
        </is>
      </c>
    </row>
    <row r="17">
      <c r="A17">
        <f>B17&amp;"|"&amp;C17</f>
        <v/>
      </c>
      <c r="B17" t="inlineStr">
        <is>
          <t>ThermoFisher</t>
        </is>
      </c>
      <c r="C17" s="19" t="inlineStr">
        <is>
          <t>A10436</t>
        </is>
      </c>
      <c r="D17" t="inlineStr">
        <is>
          <t>Alexa Fluor™ 488 Hydrazide</t>
        </is>
      </c>
      <c r="E17" t="inlineStr">
        <is>
          <t>N/A</t>
        </is>
      </c>
      <c r="F17" t="inlineStr">
        <is>
          <t>RT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https://www.thermofisher.com/order/catalog/product/A10436</t>
        </is>
      </c>
      <c r="L17" t="inlineStr">
        <is>
          <t>https://documents.thermofisher.com/TFS-Assets/LSG/SDS/A10436_MTR-NALT_EN.pdf</t>
        </is>
      </c>
      <c r="M17" t="inlineStr">
        <is>
          <t>C:\Users\Jeonghun Lee\.gemini\antigravity\scratch\chemical manager\sds\Alexa Fluor™ 488 Hydrazide (ThermoFisher, A10436).pdf</t>
        </is>
      </c>
      <c r="N17" t="inlineStr">
        <is>
          <t>2026-08-11</t>
        </is>
      </c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2" min="1" max="1"/>
  </cols>
  <sheetData>
    <row r="1" ht="20.25" customHeight="1" s="12">
      <c r="A1" s="27" t="inlineStr">
        <is>
          <t>[ Chemical Manager Program User Guide &amp; Instructions ]</t>
        </is>
      </c>
    </row>
    <row r="3">
      <c r="A3" s="9" t="inlineStr">
        <is>
          <t>1. 기본 동작 원리 및 저장 기준</t>
        </is>
      </c>
    </row>
    <row r="4">
      <c r="A4" s="28" t="inlineStr">
        <is>
          <t>- 프로그램은 원본 Orderbook.xlsx (주문대장) 파일의 변경을 감지하여 데이터를 읽어옵니다.</t>
        </is>
      </c>
    </row>
    <row r="5">
      <c r="A5" s="28" t="inlineStr">
        <is>
          <t>- 폴더 내에서 이름에 적힌 날짜/시간이 가장 최신인 ChemicalList 파일을 기준으로 삼습니다.</t>
        </is>
      </c>
    </row>
    <row r="6">
      <c r="A6" s="28" t="inlineStr">
        <is>
          <t>- 업데이트 완료 시 덮어쓰기 대신 새로운 날짜/시간이 적힌 새 파일(ChemicalList_YYYYMMDD_HHMMSS)을 생성합니다.</t>
        </is>
      </c>
    </row>
    <row r="7">
      <c r="A7" s="28" t="inlineStr">
        <is>
          <t>- 기존의 낡은 파일들은 안전하게 'Old Chemical List' 폴더로 자동 이동됩니다.</t>
        </is>
      </c>
    </row>
    <row r="9">
      <c r="A9" s="9" t="inlineStr">
        <is>
          <t>2. 사용자 작성 시 유의사항 (Orderbook 및 Chemical List)</t>
        </is>
      </c>
    </row>
    <row r="10">
      <c r="A10" s="28" t="inlineStr">
        <is>
          <t>- 빈 줄 금지: 데이터 중간에 완전히 비어있는 줄이 있으면 데이터를 읽다가 중단될 수 있으므로 차례대로 기입하세요.</t>
        </is>
      </c>
    </row>
    <row r="11">
      <c r="A11" s="28" t="inlineStr">
        <is>
          <t>- 동기화 기준: 시약명과 카탈로그 번호 등을 기준으로 기존에 등록된 시약인지 새 시약인지 판단합니다.</t>
        </is>
      </c>
    </row>
    <row r="12">
      <c r="A12" s="28" t="inlineStr">
        <is>
          <t>- 수령 확인 (Status): 수령 후 Status 열에 'O' 또는 'ㅇ'을 입력하면 수령으로 간주되며, PDF 출력 필터링에 사용됩니다.</t>
        </is>
      </c>
    </row>
    <row r="13">
      <c r="A13" s="28" t="inlineStr">
        <is>
          <t>- 드롭다운 선택: 캐비넷(Cabinet)은 Room과 Storage Temp.에 따라 동적으로 변하므로 잘못된 값을 억지로 쓰지 마세요.</t>
        </is>
      </c>
    </row>
    <row r="14">
      <c r="A14" s="10" t="inlineStr">
        <is>
          <t>- 오더북의 "시약, 수령확인, 회사, 수량, 용량, CAS 번호, 품번, 보관온도" 열의 내용을 자동으로 동기화합니다.</t>
        </is>
      </c>
    </row>
    <row r="15">
      <c r="A15" s="10" t="inlineStr">
        <is>
          <t>- 오더북을 작성할 때 해당 셀의 내용을 충실하게 적어주세요</t>
        </is>
      </c>
    </row>
    <row r="16">
      <c r="A16" s="10" t="inlineStr">
        <is>
          <t>- 오더북의 시약 및 수령확인 셀에 "O"표시가 되어있는 행만 사용합니다.</t>
        </is>
      </c>
    </row>
    <row r="17">
      <c r="A17" s="10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0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9" t="inlineStr">
        <is>
          <t>3. 프로그램 사용 주의사항</t>
        </is>
      </c>
    </row>
    <row r="21">
      <c r="A21" s="28" t="inlineStr">
        <is>
          <t>- 열린 파일 처리: Chemical List 엑셀 파일이 켜져 있어도 프로그램이 알아서 우회하여 새 파일을 생성합니다.</t>
        </is>
      </c>
    </row>
    <row r="22">
      <c r="A22" s="28" t="inlineStr">
        <is>
          <t>- 단, 원본인 Orderbook 파일은 엑셀에서 저장을 완료해야만 프로그램이 변경 사항을 정확히 감지할 수 있습니다.</t>
        </is>
      </c>
    </row>
    <row r="23">
      <c r="A23" s="28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2026-08-11T11:40:06Z</dcterms:modified>
  <cp:lastModifiedBy>Jeonghun Lee</cp:lastModifiedBy>
</cp:coreProperties>
</file>