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5535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<sst xmlns="http://schemas.openxmlformats.org/spreadsheetml/2006/main" count="976" uniqueCount="362">
  <si>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</si>
  <si>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</si>
  <si>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</si>
  <si>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</si>
  <si>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</si>
  <si>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</si>
  <si>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</si>
  <si>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</si>
  <si>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</si>
  <si>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</si>
  <si>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</si>
  <si>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</si>
  <si>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</si>
  <si>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</si>
  <si>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</si>
  <si>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</si>
  <si>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</si>
  <si>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</si>
  <si>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</si>
  <si>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</si>
  <si>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</si>
  <si>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</si>
  <si>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</si>
  <si>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</si>
  <si>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</si>
  <si>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</si>
  <si>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</si>
  <si>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</si>
  <si>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</si>
  <si>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</si>
  <si>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</si>
  <si>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</si>
  <si>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</si>
  <si>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</si>
  <si>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</si>
  <si>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</si>
  <si>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</si>
  <si>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</si>
  <si>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</si>
  <si>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</si>
  <si>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</si>
  <si>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</si>
  <si>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</si>
  <si>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</si>
  <si>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</si>
  <si>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</si>
  <si>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</si>
  <si>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</si>
  <si>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</si>
  <si>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</si>
  <si>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</si>
  <si>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</si>
  <si>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</si>
  <si>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</si>
  <si>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</si>
  <si>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</si>
  <si>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</si>
  <si>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</si>
  <si>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</si>
  <si>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</si>
  <si>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</si>
  <si>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</si>
  <si>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</si>
  <si>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</si>
  <si>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</si>
  <si>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</si>
  <si>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</si>
  <si>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</si>
  <si>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</si>
  <si>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</si>
  <si>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</si>
  <si>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</si>
  <si>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</si>
  <si>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</si>
  <si>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</si>
  <si>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</si>
  <si>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</si>
  <si>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</si>
  <si>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</si>
  <si>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</si>
  <si>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</si>
  <si>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</si>
  <si>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</si>
  <si>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</si>
  <si>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</si>
  <si>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</si>
  <si>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</si>
  <si>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</si>
  <si>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</si>
  <si>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</si>
  <si>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</si>
  <si>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</si>
  <si>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</si>
  <si>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</si>
  <si>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</si>
  <si>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</si>
  <si>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</si>
  <si>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</si>
  <si>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</si>
  <si>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</si>
  <si>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</si>
  <si>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</si>
  <si>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</si>
  <si>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</si>
  <si>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</si>
  <si>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</si>
  <si>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</si>
  <si>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</si>
  <si>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</si>
  <si>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</si>
  <si>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</si>
  <si>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</si>
  <si>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</si>
  <si>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</si>
  <si>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</si>
  <si>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</si>
  <si>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</si>
  <si>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</si>
  <si>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</si>
  <si>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</si>
  <si>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</si>
  <si>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</si>
  <si>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</si>
  <si>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</si>
  <si>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</si>
  <si>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</si>
  <si>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</si>
  <si>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</si>
  <si>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</si>
  <si>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</si>
  <si>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</si>
  <si>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</si>
  <si>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</si>
  <si>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</si>
  <si>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</si>
  <si>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</si>
  <si>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</si>
  <si>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</si>
  <si>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</si>
  <si>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</si>
  <si>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</si>
  <si>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</si>
  <si>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</si>
  <si>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</si>
  <si>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</si>
  <si>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</si>
  <si>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</si>
  <si>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</si>
  <si>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</si>
  <si>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</si>
  <si>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</si>
  <si>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</si>
  <si>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</si>
  <si>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</si>
  <si>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</si>
  <si>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</si>
  <si>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</si>
  <si>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</si>
  <si>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</si>
  <si>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</si>
  <si>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</si>
  <si>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</si>
  <si>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</si>
  <si>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</si>
  <si>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</si>
  <si>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</si>
  <si>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</si>
  <si>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</si>
  <si>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</si>
  <si>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</si>
  <si>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</si>
  <si>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</si>
  <si>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</si>
  <si>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</si>
  <si>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</si>
  <si>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</si>
  <si>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</si>
  <si>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</si>
  <si>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</si>
  <si>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</si>
  <si>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</si>
  <si>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</si>
  <si>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</si>
  <si>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</si>
  <si>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</si>
  <si>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</si>
  <si>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</si>
  <si>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</si>
  <si>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</si>
  <si>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</si>
  <si>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</si>
  <si>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</si>
  <si>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</si>
  <si>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</si>
  <si>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</si>
  <si>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</si>
  <si>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</si>
  <si>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</si>
  <si>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</si>
  <si>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</si>
  <si>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</si>
  <si>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</si>
  <si>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</si>
  <si>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</si>
  <si>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</si>
  <si>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</si>
  <si>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</si>
  <si>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</si>
  <si>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</si>
  <si>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</si>
  <si>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</si>
  <si>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</si>
  <si>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</si>
  <si>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</si>
  <si>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</si>
  <si>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</si>
  <si>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</si>
  <si>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</si>
  <si>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6/19</t>
  </si>
  <si>
    <t>강채린</t>
  </si>
  <si>
    <t>Aldrich</t>
  </si>
  <si>
    <t>5g</t>
  </si>
  <si>
    <t>118-75-2</t>
  </si>
  <si>
    <t>2-30°c</t>
  </si>
  <si>
    <t>26-0347</t>
  </si>
  <si>
    <t>6/18</t>
  </si>
  <si>
    <t>1-Adamantanethiol</t>
  </si>
  <si>
    <t>34301-54-7</t>
  </si>
  <si>
    <t>26-0340</t>
  </si>
  <si>
    <t>Acetaldehyde</t>
  </si>
  <si>
    <t>75-07-0</t>
  </si>
  <si>
    <t>TCI</t>
  </si>
  <si>
    <t>T0751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</si>
  <si>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</si>
  <si>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</si>
  <si>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</si>
  <si>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</si>
  <si>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</si>
  <si>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</si>
  <si>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</si>
  <si>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</si>
  <si>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</si>
  <si>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</si>
  <si>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</si>
  <si>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</si>
  <si>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</si>
  <si>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</si>
  <si>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</si>
  <si>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</si>
  <si>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사용자 직접 입력 요망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</si>
  <si>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</si>
  <si>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인화성,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건강유해</t>
    </r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</si>
  <si>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</si>
  <si>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</si>
  <si>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</si>
  <si>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정보 없음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</si>
  <si>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</si>
  <si>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</si>
  <si>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</si>
  <si>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</si>
  <si>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</si>
  <si>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</si>
  <si>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</si>
  <si>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</si>
  <si>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</si>
  <si>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</si>
  <si>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</si>
  <si>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</si>
  <si>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2026-08-10 19:00:18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</si>
  <si>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</si>
  <si>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</si>
  <si>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</si>
  <si>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</si>
  <si>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</si>
  <si>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20:59:31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</si>
  <si>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</si>
  <si>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</si>
  <si>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</si>
  <si>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</si>
  <si>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</si>
  <si>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</si>
  <si>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</si>
  <si>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</si>
  <si>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</si>
  <si>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</si>
  <si>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</si>
  <si>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</si>
  <si>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</si>
  <si>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</si>
  <si>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</si>
  <si>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</si>
  <si>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</si>
  <si>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</si>
  <si>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</si>
  <si>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</si>
  <si>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</si>
  <si>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</si>
  <si>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</si>
  <si>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</si>
  <si>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C0119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</si>
  <si>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</si>
  <si>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</si>
  <si>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</si>
  <si>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</si>
  <si>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</si>
  <si>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</si>
  <si>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</si>
  <si>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</si>
  <si>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</si>
  <si>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</si>
  <si>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</si>
  <si>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</si>
  <si>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</si>
  <si>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</si>
  <si>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</si>
  <si>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</si>
  <si>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</si>
  <si>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</si>
  <si>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</si>
  <si>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</si>
  <si>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</si>
  <si>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</si>
  <si>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</si>
  <si>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</si>
  <si>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H301: Toxic if swallowed / H319: Causes serious eye irritation</t>
  </si>
  <si>
    <t>https://www.sigmaaldrich.com/KR/ko/product/aldrich/659452</t>
  </si>
  <si>
    <t>https://www.sigmaaldrich.com/KR/ko/sds/aldrich/659452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</si>
  <si>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</si>
  <si>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</si>
  <si>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</si>
  <si>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</si>
  <si>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H319: Causes serious eye irritation / H301: Toxic if swallowed</t>
  </si>
  <si>
    <t>https://www.sigmaaldrich.com/KR/en/product/aldrich/659452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</si>
  <si>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</si>
  <si>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</si>
  <si>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C:\Users\Jeonghun Lee\.gemini\antigravity\scratch\chemical manager\sds\1-Adamantanethiol.pdf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</si>
  <si>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</si>
  <si>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</si>
  <si>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</si>
  <si>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</si>
  <si>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</si>
  <si>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</si>
  <si>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</si>
  <si>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</si>
  <si>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</si>
  <si>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</si>
  <si>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</si>
  <si>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</si>
  <si>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</si>
  <si>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</si>
  <si>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</si>
  <si>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</si>
  <si>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</si>
  <si>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</si>
  <si>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</si>
  <si>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</si>
  <si>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</si>
  <si>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</si>
  <si>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</si>
  <si>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Fff</t>
  </si>
  <si>
    <t>Fff</t>
    <phoneticPr fontId="1" type="noConversion"/>
  </si>
  <si>
    <t>Made By Nki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</si>
</sst>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0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"/>
  <sheetViews>
    <sheetView tabSelected="1" topLeftCell="A76" zoomScale="70" zoomScaleNormal="70" workbookViewId="0">
      <selection activeCell="A94" sqref="A94:XFD94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358</v>
      </c>
      <c r="F2" s="8" t="s">
        <v>22</v>
      </c>
      <c r="G2" s="7" t="s">
        <v>23</v>
      </c>
      <c r="H2" s="10">
        <v>359238</v>
      </c>
      <c r="I2" s="1">
        <v>309</v>
      </c>
      <c r="J2" s="1" t="s">
        <v>24</v>
      </c>
      <c r="K2" s="1" t="s">
        <v>25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26</v>
      </c>
      <c r="E3" s="10" t="s">
        <v>358</v>
      </c>
      <c r="F3" s="8" t="s">
        <v>27</v>
      </c>
      <c r="G3" s="7" t="s">
        <v>28</v>
      </c>
      <c r="H3" s="10">
        <v>440140</v>
      </c>
      <c r="I3" s="1">
        <v>1018</v>
      </c>
      <c r="J3" s="1" t="s">
        <v>29</v>
      </c>
      <c r="K3" s="1" t="s">
        <v>30</v>
      </c>
      <c r="L3" s="8">
        <v>1</v>
      </c>
      <c r="N3" s="1">
        <f t="shared" si="0"/>
        <v>1</v>
      </c>
    </row>
    <row r="4" spans="1:21">
      <c r="A4" s="1" t="s">
        <v>31</v>
      </c>
      <c r="B4" s="3" t="s">
        <v>32</v>
      </c>
      <c r="C4" s="1" t="s">
        <v>33</v>
      </c>
      <c r="D4" s="1" t="s">
        <v>34</v>
      </c>
      <c r="E4" s="1"/>
      <c r="F4" s="1"/>
      <c r="G4" s="1"/>
      <c r="H4" s="1"/>
      <c r="I4" s="1">
        <v>1018</v>
      </c>
      <c r="J4" s="1"/>
      <c r="K4" s="1" t="s">
        <v>35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36</v>
      </c>
      <c r="D5" s="1" t="s">
        <v>37</v>
      </c>
      <c r="E5" s="1">
        <v>1</v>
      </c>
      <c r="F5" s="1">
        <v>1</v>
      </c>
      <c r="G5" s="1" t="s">
        <v>38</v>
      </c>
      <c r="H5" s="1">
        <v>1</v>
      </c>
      <c r="I5" s="1">
        <v>1001</v>
      </c>
      <c r="J5" s="1" t="s">
        <v>39</v>
      </c>
      <c r="K5" s="1" t="s">
        <v>40</v>
      </c>
      <c r="L5" s="1">
        <v>2</v>
      </c>
      <c r="M5" s="1"/>
      <c r="N5" s="1">
        <f t="shared" si="0"/>
        <v>2</v>
      </c>
      <c r="O5" s="1"/>
    </row>
    <row r="6" spans="1:21">
      <c r="A6" s="1" t="s">
        <v>41</v>
      </c>
      <c r="B6" s="3" t="s">
        <v>42</v>
      </c>
      <c r="C6" s="1" t="s">
        <v>36</v>
      </c>
      <c r="D6" s="1" t="s">
        <v>37</v>
      </c>
      <c r="E6" s="1">
        <v>1</v>
      </c>
      <c r="F6" s="1">
        <v>1</v>
      </c>
      <c r="G6" s="1" t="s">
        <v>38</v>
      </c>
      <c r="H6" s="1">
        <v>1</v>
      </c>
      <c r="I6" s="1"/>
      <c r="J6" s="1" t="s">
        <v>39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33</v>
      </c>
      <c r="D7" s="1" t="s">
        <v>43</v>
      </c>
      <c r="E7" s="1" t="s">
        <v>360</v>
      </c>
      <c r="F7" s="1" t="s">
        <v>44</v>
      </c>
      <c r="G7" s="1" t="s">
        <v>45</v>
      </c>
      <c r="H7" s="1" t="s">
        <v>46</v>
      </c>
      <c r="I7" s="1">
        <v>1018</v>
      </c>
      <c r="J7" s="1" t="s">
        <v>47</v>
      </c>
      <c r="K7" s="1" t="s">
        <v>48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49</v>
      </c>
      <c r="B8" s="3" t="s">
        <v>50</v>
      </c>
      <c r="C8" s="1" t="s">
        <v>33</v>
      </c>
      <c r="D8" s="1" t="s">
        <v>43</v>
      </c>
      <c r="E8" s="1" t="s">
        <v>360</v>
      </c>
      <c r="F8" s="1" t="s">
        <v>44</v>
      </c>
      <c r="G8" s="1" t="s">
        <v>45</v>
      </c>
      <c r="H8" s="1" t="s">
        <v>46</v>
      </c>
      <c r="I8" s="1"/>
      <c r="J8" s="1" t="s">
        <v>47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51</v>
      </c>
      <c r="B9" s="3" t="s">
        <v>50</v>
      </c>
      <c r="C9" s="1" t="s">
        <v>33</v>
      </c>
      <c r="D9" s="1" t="s">
        <v>52</v>
      </c>
      <c r="E9" s="1" t="s">
        <v>360</v>
      </c>
      <c r="F9" s="1" t="s">
        <v>44</v>
      </c>
      <c r="G9" s="1" t="s">
        <v>45</v>
      </c>
      <c r="H9" s="1" t="s">
        <v>46</v>
      </c>
      <c r="I9" s="1">
        <v>1018</v>
      </c>
      <c r="J9" s="1" t="s">
        <v>39</v>
      </c>
      <c r="K9" s="1" t="s">
        <v>40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33</v>
      </c>
      <c r="D10" s="1" t="s">
        <v>53</v>
      </c>
      <c r="E10" s="1"/>
      <c r="F10" s="1"/>
      <c r="G10" s="1"/>
      <c r="H10" s="1"/>
      <c r="I10" s="1">
        <v>1001</v>
      </c>
      <c r="J10" s="1" t="s">
        <v>39</v>
      </c>
      <c r="K10" s="1" t="s">
        <v>54</v>
      </c>
      <c r="L10" s="1"/>
      <c r="M10" s="1"/>
      <c r="N10" s="1" t="str">
        <f t="shared" si="0"/>
        <v>X</v>
      </c>
      <c r="O10" s="1"/>
    </row>
    <row r="11" spans="1:21">
      <c r="A11" s="1" t="s">
        <v>55</v>
      </c>
      <c r="B11" s="3" t="s">
        <v>56</v>
      </c>
      <c r="C11" s="1" t="s">
        <v>33</v>
      </c>
      <c r="D11" s="1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57</v>
      </c>
      <c r="E12" s="10"/>
      <c r="F12" s="8"/>
      <c r="G12" s="7"/>
      <c r="H12" s="10"/>
      <c r="I12" s="1">
        <v>309</v>
      </c>
      <c r="J12" s="1" t="s">
        <v>47</v>
      </c>
      <c r="K12" s="1" t="s">
        <v>54</v>
      </c>
      <c r="L12" s="8">
        <v>1</v>
      </c>
      <c r="N12" s="1">
        <f t="shared" si="0"/>
        <v>1</v>
      </c>
    </row>
    <row r="13" spans="1:21">
      <c r="C13" s="10"/>
      <c r="D13" s="6" t="s">
        <v>58</v>
      </c>
      <c r="E13" s="10" t="s">
        <v>361</v>
      </c>
      <c r="F13" s="8"/>
      <c r="G13" s="7"/>
      <c r="H13" s="10"/>
      <c r="I13" s="1">
        <v>1018</v>
      </c>
      <c r="J13" s="1" t="s">
        <v>24</v>
      </c>
      <c r="K13" s="1" t="s">
        <v>25</v>
      </c>
      <c r="L13" s="8">
        <v>1</v>
      </c>
      <c r="N13" s="1">
        <f t="shared" si="0"/>
        <v>1</v>
      </c>
    </row>
    <row r="14" spans="1:21">
      <c r="C14" s="10"/>
      <c r="D14" s="6" t="s">
        <v>59</v>
      </c>
      <c r="E14" s="10" t="s">
        <v>358</v>
      </c>
      <c r="F14" s="8" t="s">
        <v>27</v>
      </c>
      <c r="G14" s="10" t="s">
        <v>60</v>
      </c>
      <c r="H14" s="10">
        <v>94884</v>
      </c>
      <c r="I14" s="1">
        <v>309</v>
      </c>
      <c r="J14" s="1" t="s">
        <v>47</v>
      </c>
      <c r="K14" s="1" t="s">
        <v>54</v>
      </c>
      <c r="L14" s="8">
        <v>1</v>
      </c>
      <c r="N14" s="1">
        <f t="shared" si="0"/>
        <v>1</v>
      </c>
    </row>
    <row r="15" spans="1:21">
      <c r="C15" s="10"/>
      <c r="D15" s="6" t="s">
        <v>61</v>
      </c>
      <c r="E15" s="10" t="s">
        <v>358</v>
      </c>
      <c r="F15" s="8" t="s">
        <v>62</v>
      </c>
      <c r="G15" s="7" t="s">
        <v>63</v>
      </c>
      <c r="H15" s="10">
        <v>131377</v>
      </c>
      <c r="I15" s="1">
        <v>1018</v>
      </c>
      <c r="J15" s="1" t="s">
        <v>47</v>
      </c>
      <c r="K15" s="1" t="s">
        <v>48</v>
      </c>
      <c r="L15" s="8">
        <v>1</v>
      </c>
      <c r="N15" s="1">
        <f t="shared" si="0"/>
        <v>1</v>
      </c>
    </row>
    <row r="16" spans="1:21">
      <c r="A16" s="1" t="s">
        <v>64</v>
      </c>
      <c r="B16" s="3" t="s">
        <v>65</v>
      </c>
      <c r="C16" s="1" t="s">
        <v>36</v>
      </c>
      <c r="D16" s="1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67</v>
      </c>
      <c r="D17" s="1" t="s">
        <v>68</v>
      </c>
      <c r="E17" s="1"/>
      <c r="F17" s="1"/>
      <c r="G17" s="1"/>
      <c r="H17" s="1"/>
      <c r="I17" s="1">
        <v>1001</v>
      </c>
      <c r="J17" s="1" t="s">
        <v>29</v>
      </c>
      <c r="K17" s="1" t="s">
        <v>25</v>
      </c>
      <c r="L17" s="1"/>
      <c r="M17" s="1"/>
      <c r="N17" s="1" t="str">
        <f t="shared" si="0"/>
        <v>X</v>
      </c>
      <c r="O17" s="1"/>
    </row>
    <row r="18" spans="1:15">
      <c r="A18" s="1" t="s">
        <v>69</v>
      </c>
      <c r="B18" s="3" t="s">
        <v>70</v>
      </c>
      <c r="C18" s="1" t="s">
        <v>67</v>
      </c>
      <c r="D18" s="1" t="s">
        <v>68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71</v>
      </c>
      <c r="D19" s="1" t="s">
        <v>72</v>
      </c>
      <c r="E19" s="1" t="s">
        <v>358</v>
      </c>
      <c r="F19" s="1" t="s">
        <v>74</v>
      </c>
      <c r="G19" s="1" t="s">
        <v>75</v>
      </c>
      <c r="H19" s="1" t="s">
        <v>76</v>
      </c>
      <c r="I19" s="1">
        <v>309</v>
      </c>
      <c r="J19" s="1" t="s">
        <v>47</v>
      </c>
      <c r="K19" s="1" t="s">
        <v>54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77</v>
      </c>
      <c r="B20" s="3" t="s">
        <v>78</v>
      </c>
      <c r="C20" s="1" t="s">
        <v>71</v>
      </c>
      <c r="D20" s="1" t="s">
        <v>72</v>
      </c>
      <c r="E20" s="1" t="s">
        <v>358</v>
      </c>
      <c r="F20" s="1" t="s">
        <v>74</v>
      </c>
      <c r="G20" s="1" t="s">
        <v>75</v>
      </c>
      <c r="H20" s="1" t="s">
        <v>76</v>
      </c>
      <c r="I20" s="1"/>
      <c r="J20" s="1" t="s">
        <v>47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79</v>
      </c>
      <c r="B21" s="3" t="s">
        <v>80</v>
      </c>
      <c r="C21" s="1" t="s">
        <v>81</v>
      </c>
      <c r="D21" s="1" t="s">
        <v>82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83</v>
      </c>
      <c r="D22" s="1" t="s">
        <v>84</v>
      </c>
      <c r="E22" s="1"/>
      <c r="F22" s="1"/>
      <c r="G22" s="1"/>
      <c r="H22" s="1"/>
      <c r="I22" s="1">
        <v>1018</v>
      </c>
      <c r="J22" s="1" t="s">
        <v>47</v>
      </c>
      <c r="K22" s="1" t="s">
        <v>25</v>
      </c>
      <c r="L22" s="1"/>
      <c r="M22" s="1"/>
      <c r="N22" s="1" t="str">
        <f t="shared" si="0"/>
        <v>X</v>
      </c>
      <c r="O22" s="1"/>
    </row>
    <row r="23" spans="1:15">
      <c r="A23" s="1" t="s">
        <v>85</v>
      </c>
      <c r="B23" s="3" t="s">
        <v>86</v>
      </c>
      <c r="C23" s="1" t="s">
        <v>83</v>
      </c>
      <c r="D23" s="1" t="s">
        <v>84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87</v>
      </c>
      <c r="B24" s="3" t="s">
        <v>88</v>
      </c>
      <c r="C24" s="1" t="s">
        <v>89</v>
      </c>
      <c r="D24" s="1" t="s">
        <v>90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83</v>
      </c>
      <c r="D25" s="1" t="s">
        <v>91</v>
      </c>
      <c r="E25" s="1"/>
      <c r="F25" s="1"/>
      <c r="G25" s="1"/>
      <c r="H25" s="1"/>
      <c r="I25" s="1">
        <v>1001</v>
      </c>
      <c r="J25" s="1" t="s">
        <v>47</v>
      </c>
      <c r="K25" s="1" t="s">
        <v>40</v>
      </c>
      <c r="L25" s="1"/>
      <c r="M25" s="1"/>
      <c r="N25" s="1" t="str">
        <f t="shared" si="0"/>
        <v>X</v>
      </c>
      <c r="O25" s="1"/>
    </row>
    <row r="26" spans="1:15">
      <c r="A26" s="1" t="s">
        <v>92</v>
      </c>
      <c r="B26" s="3" t="s">
        <v>93</v>
      </c>
      <c r="C26" s="1" t="s">
        <v>83</v>
      </c>
      <c r="D26" s="1" t="s">
        <v>91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94</v>
      </c>
      <c r="B27" s="3" t="s">
        <v>95</v>
      </c>
      <c r="C27" s="1" t="s">
        <v>83</v>
      </c>
      <c r="D27" s="1" t="s">
        <v>96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36</v>
      </c>
      <c r="D28" s="1" t="s">
        <v>97</v>
      </c>
      <c r="E28" s="1"/>
      <c r="F28" s="1"/>
      <c r="G28" s="1"/>
      <c r="H28" s="1"/>
      <c r="I28" s="1">
        <v>1001</v>
      </c>
      <c r="J28" s="1" t="s">
        <v>39</v>
      </c>
      <c r="K28" s="1" t="s">
        <v>40</v>
      </c>
      <c r="L28" s="1"/>
      <c r="M28" s="1"/>
      <c r="N28" s="1" t="str">
        <f t="shared" si="0"/>
        <v>X</v>
      </c>
      <c r="O28" s="1"/>
    </row>
    <row r="29" spans="1:15">
      <c r="A29" s="1" t="s">
        <v>98</v>
      </c>
      <c r="B29" s="3" t="s">
        <v>42</v>
      </c>
      <c r="C29" s="1" t="s">
        <v>36</v>
      </c>
      <c r="D29" s="1" t="s">
        <v>97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83</v>
      </c>
      <c r="D30" s="1" t="s">
        <v>99</v>
      </c>
      <c r="E30" s="1"/>
      <c r="F30" s="1"/>
      <c r="G30" s="1"/>
      <c r="H30" s="1"/>
      <c r="I30" s="1">
        <v>309</v>
      </c>
      <c r="J30" s="1" t="s">
        <v>39</v>
      </c>
      <c r="K30" s="1" t="s">
        <v>100</v>
      </c>
      <c r="L30" s="1"/>
      <c r="M30" s="1"/>
      <c r="N30" s="1" t="str">
        <f t="shared" si="0"/>
        <v>X</v>
      </c>
      <c r="O30" s="1"/>
    </row>
    <row r="31" spans="1:15">
      <c r="A31" s="1" t="s">
        <v>101</v>
      </c>
      <c r="B31" s="3" t="s">
        <v>102</v>
      </c>
      <c r="C31" s="1" t="s">
        <v>83</v>
      </c>
      <c r="D31" s="1" t="s">
        <v>99</v>
      </c>
      <c r="E31" s="1"/>
      <c r="F31" s="1"/>
      <c r="G31" s="1"/>
      <c r="H31" s="1"/>
      <c r="I31" s="1"/>
      <c r="J31" s="1" t="s">
        <v>39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103</v>
      </c>
      <c r="D32" s="1" t="s">
        <v>104</v>
      </c>
      <c r="E32" s="1"/>
      <c r="F32" s="1"/>
      <c r="G32" s="1"/>
      <c r="H32" s="1"/>
      <c r="I32" s="1">
        <v>1018</v>
      </c>
      <c r="J32" s="1" t="s">
        <v>24</v>
      </c>
      <c r="K32" s="1" t="s">
        <v>25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105</v>
      </c>
      <c r="B33" s="3" t="s">
        <v>86</v>
      </c>
      <c r="C33" s="1" t="s">
        <v>103</v>
      </c>
      <c r="D33" s="1" t="s">
        <v>104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106</v>
      </c>
      <c r="D34" s="1" t="s">
        <v>107</v>
      </c>
      <c r="E34" s="1"/>
      <c r="F34" s="1" t="s">
        <v>108</v>
      </c>
      <c r="G34" s="1"/>
      <c r="H34" s="1"/>
      <c r="I34" s="1">
        <v>1001</v>
      </c>
      <c r="J34" s="1" t="s">
        <v>29</v>
      </c>
      <c r="K34" s="1" t="s">
        <v>30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109</v>
      </c>
      <c r="B35" s="3" t="s">
        <v>110</v>
      </c>
      <c r="C35" s="1" t="s">
        <v>106</v>
      </c>
      <c r="D35" s="1" t="s">
        <v>107</v>
      </c>
      <c r="E35" s="1"/>
      <c r="F35" s="1" t="s">
        <v>108</v>
      </c>
      <c r="G35" s="1"/>
      <c r="H35" s="1"/>
      <c r="I35" s="1"/>
      <c r="J35" s="1" t="s">
        <v>29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111</v>
      </c>
      <c r="B36" s="3" t="s">
        <v>112</v>
      </c>
      <c r="C36" s="1" t="s">
        <v>89</v>
      </c>
      <c r="D36" s="1" t="s">
        <v>113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114</v>
      </c>
      <c r="B37" s="3" t="s">
        <v>115</v>
      </c>
      <c r="C37" s="1" t="s">
        <v>33</v>
      </c>
      <c r="D37" s="1" t="s">
        <v>116</v>
      </c>
      <c r="E37" s="1" t="s">
        <v>358</v>
      </c>
      <c r="F37" s="1" t="s">
        <v>117</v>
      </c>
      <c r="G37" s="1" t="s">
        <v>75</v>
      </c>
      <c r="H37" s="1" t="s">
        <v>76</v>
      </c>
      <c r="I37" s="1">
        <v>1018</v>
      </c>
      <c r="J37" s="1" t="s">
        <v>39</v>
      </c>
      <c r="K37" s="1" t="s">
        <v>35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118</v>
      </c>
      <c r="B38" s="3" t="s">
        <v>80</v>
      </c>
      <c r="C38" s="1" t="s">
        <v>36</v>
      </c>
      <c r="D38" s="1" t="s">
        <v>119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83</v>
      </c>
      <c r="D39" s="1" t="s">
        <v>120</v>
      </c>
      <c r="E39" s="1"/>
      <c r="F39" s="1"/>
      <c r="G39" s="1"/>
      <c r="H39" s="1"/>
      <c r="I39" s="1">
        <v>1001</v>
      </c>
      <c r="J39" s="1" t="s">
        <v>24</v>
      </c>
      <c r="K39" s="1" t="s">
        <v>54</v>
      </c>
      <c r="L39" s="1"/>
      <c r="M39" s="1"/>
      <c r="N39" s="1" t="str">
        <f t="shared" si="0"/>
        <v>X</v>
      </c>
      <c r="O39" s="1"/>
    </row>
    <row r="40" spans="1:15">
      <c r="A40" s="1" t="s">
        <v>121</v>
      </c>
      <c r="B40" s="3" t="s">
        <v>122</v>
      </c>
      <c r="C40" s="1" t="s">
        <v>83</v>
      </c>
      <c r="D40" s="1" t="s">
        <v>120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123</v>
      </c>
      <c r="B41" s="3" t="s">
        <v>124</v>
      </c>
      <c r="C41" s="1" t="s">
        <v>125</v>
      </c>
      <c r="D41" s="1" t="s">
        <v>126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89</v>
      </c>
      <c r="D42" s="1" t="s">
        <v>127</v>
      </c>
      <c r="E42" s="1" t="s">
        <v>358</v>
      </c>
      <c r="F42" s="1" t="s">
        <v>74</v>
      </c>
      <c r="G42" s="1" t="s">
        <v>75</v>
      </c>
      <c r="H42" s="1" t="s">
        <v>76</v>
      </c>
      <c r="I42" s="1">
        <v>309</v>
      </c>
      <c r="J42" s="1" t="s">
        <v>29</v>
      </c>
      <c r="K42" s="1" t="s">
        <v>100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128</v>
      </c>
      <c r="B43" s="3" t="s">
        <v>129</v>
      </c>
      <c r="C43" s="1" t="s">
        <v>89</v>
      </c>
      <c r="D43" s="1" t="s">
        <v>127</v>
      </c>
      <c r="E43" s="1" t="s">
        <v>358</v>
      </c>
      <c r="F43" s="1" t="s">
        <v>74</v>
      </c>
      <c r="G43" s="1" t="s">
        <v>75</v>
      </c>
      <c r="H43" s="1" t="s">
        <v>76</v>
      </c>
      <c r="I43" s="1"/>
      <c r="J43" s="1" t="s">
        <v>29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89</v>
      </c>
      <c r="D44" s="1" t="s">
        <v>130</v>
      </c>
      <c r="E44" s="1" t="s">
        <v>358</v>
      </c>
      <c r="F44" s="1" t="s">
        <v>74</v>
      </c>
      <c r="G44" s="1" t="s">
        <v>75</v>
      </c>
      <c r="H44" s="1" t="s">
        <v>76</v>
      </c>
      <c r="I44" s="1">
        <v>309</v>
      </c>
      <c r="J44" s="1" t="s">
        <v>29</v>
      </c>
      <c r="K44" s="1" t="s">
        <v>100</v>
      </c>
      <c r="L44" s="1">
        <v>1</v>
      </c>
      <c r="N44" s="1">
        <f t="shared" si="0"/>
        <v>1</v>
      </c>
    </row>
    <row r="45" spans="1:15">
      <c r="C45" s="1" t="s">
        <v>89</v>
      </c>
      <c r="D45" s="1" t="s">
        <v>131</v>
      </c>
      <c r="E45" s="1" t="s">
        <v>358</v>
      </c>
      <c r="F45" s="1" t="s">
        <v>74</v>
      </c>
      <c r="G45" s="1" t="s">
        <v>75</v>
      </c>
      <c r="H45" s="1" t="s">
        <v>76</v>
      </c>
      <c r="I45" s="1">
        <v>309</v>
      </c>
      <c r="J45" s="1" t="s">
        <v>29</v>
      </c>
      <c r="K45" s="1" t="s">
        <v>100</v>
      </c>
      <c r="L45" s="1">
        <v>1</v>
      </c>
      <c r="N45" s="1">
        <f t="shared" si="0"/>
        <v>1</v>
      </c>
    </row>
    <row r="46" spans="1:15">
      <c r="C46" s="1" t="s">
        <v>89</v>
      </c>
      <c r="D46" s="1" t="s">
        <v>132</v>
      </c>
      <c r="E46" s="1" t="s">
        <v>358</v>
      </c>
      <c r="F46" s="1" t="s">
        <v>74</v>
      </c>
      <c r="G46" s="1" t="s">
        <v>75</v>
      </c>
      <c r="H46" s="1" t="s">
        <v>76</v>
      </c>
      <c r="I46" s="1">
        <v>309</v>
      </c>
      <c r="J46" s="1" t="s">
        <v>29</v>
      </c>
      <c r="K46" s="1" t="s">
        <v>100</v>
      </c>
      <c r="L46" s="1">
        <v>1</v>
      </c>
      <c r="N46" s="1">
        <f t="shared" si="0"/>
        <v>1</v>
      </c>
    </row>
    <row r="47" spans="1:15">
      <c r="C47" s="1" t="s">
        <v>89</v>
      </c>
      <c r="D47" s="1" t="s">
        <v>133</v>
      </c>
      <c r="E47" s="1" t="s">
        <v>358</v>
      </c>
      <c r="F47" s="1" t="s">
        <v>74</v>
      </c>
      <c r="G47" s="1" t="s">
        <v>75</v>
      </c>
      <c r="H47" s="1" t="s">
        <v>76</v>
      </c>
      <c r="I47" s="1">
        <v>309</v>
      </c>
      <c r="J47" s="1" t="s">
        <v>29</v>
      </c>
      <c r="K47" s="1" t="s">
        <v>100</v>
      </c>
      <c r="L47" s="1">
        <v>1</v>
      </c>
      <c r="N47" s="1">
        <f t="shared" si="0"/>
        <v>1</v>
      </c>
    </row>
    <row r="48" spans="1:15">
      <c r="C48" s="1" t="s">
        <v>89</v>
      </c>
      <c r="D48" s="1" t="s">
        <v>134</v>
      </c>
      <c r="E48" s="1" t="s">
        <v>358</v>
      </c>
      <c r="F48" s="1" t="s">
        <v>74</v>
      </c>
      <c r="G48" s="1" t="s">
        <v>75</v>
      </c>
      <c r="H48" s="1" t="s">
        <v>76</v>
      </c>
      <c r="I48" s="1">
        <v>309</v>
      </c>
      <c r="J48" s="1" t="s">
        <v>29</v>
      </c>
      <c r="K48" s="1" t="s">
        <v>100</v>
      </c>
      <c r="L48" s="1">
        <v>1</v>
      </c>
      <c r="N48" s="1">
        <f t="shared" si="0"/>
        <v>1</v>
      </c>
    </row>
    <row r="49" spans="3:14">
      <c r="C49" s="1" t="s">
        <v>89</v>
      </c>
      <c r="D49" s="1" t="s">
        <v>135</v>
      </c>
      <c r="E49" s="1" t="s">
        <v>358</v>
      </c>
      <c r="F49" s="1" t="s">
        <v>74</v>
      </c>
      <c r="G49" s="1" t="s">
        <v>75</v>
      </c>
      <c r="H49" s="1" t="s">
        <v>76</v>
      </c>
      <c r="I49" s="1">
        <v>309</v>
      </c>
      <c r="J49" s="1" t="s">
        <v>29</v>
      </c>
      <c r="K49" s="1" t="s">
        <v>100</v>
      </c>
      <c r="L49" s="1">
        <v>1</v>
      </c>
      <c r="N49" s="1">
        <f t="shared" si="0"/>
        <v>1</v>
      </c>
    </row>
    <row r="50" spans="3:14">
      <c r="C50" s="1" t="s">
        <v>89</v>
      </c>
      <c r="D50" s="1" t="s">
        <v>136</v>
      </c>
      <c r="E50" s="1" t="s">
        <v>358</v>
      </c>
      <c r="F50" s="1" t="s">
        <v>74</v>
      </c>
      <c r="G50" s="1" t="s">
        <v>75</v>
      </c>
      <c r="H50" s="1" t="s">
        <v>76</v>
      </c>
      <c r="I50" s="1">
        <v>309</v>
      </c>
      <c r="J50" s="1" t="s">
        <v>29</v>
      </c>
      <c r="K50" s="1" t="s">
        <v>100</v>
      </c>
      <c r="L50" s="1">
        <v>1</v>
      </c>
      <c r="N50" s="1">
        <f t="shared" si="0"/>
        <v>1</v>
      </c>
    </row>
    <row r="51" spans="3:14">
      <c r="C51" s="1" t="s">
        <v>89</v>
      </c>
      <c r="D51" s="1" t="s">
        <v>137</v>
      </c>
      <c r="E51" s="1" t="s">
        <v>358</v>
      </c>
      <c r="F51" s="1" t="s">
        <v>74</v>
      </c>
      <c r="G51" s="1" t="s">
        <v>75</v>
      </c>
      <c r="H51" s="1" t="s">
        <v>76</v>
      </c>
      <c r="I51" s="1">
        <v>309</v>
      </c>
      <c r="J51" s="1" t="s">
        <v>29</v>
      </c>
      <c r="K51" s="1" t="s">
        <v>100</v>
      </c>
      <c r="L51" s="1">
        <v>1</v>
      </c>
      <c r="N51" s="1">
        <f t="shared" si="0"/>
        <v>1</v>
      </c>
    </row>
    <row r="52" spans="3:14">
      <c r="C52" s="1" t="s">
        <v>89</v>
      </c>
      <c r="D52" s="1" t="s">
        <v>138</v>
      </c>
      <c r="E52" s="1" t="s">
        <v>358</v>
      </c>
      <c r="F52" s="1" t="s">
        <v>74</v>
      </c>
      <c r="G52" s="1" t="s">
        <v>75</v>
      </c>
      <c r="H52" s="1" t="s">
        <v>76</v>
      </c>
      <c r="I52" s="1">
        <v>309</v>
      </c>
      <c r="J52" s="1" t="s">
        <v>29</v>
      </c>
      <c r="K52" s="1" t="s">
        <v>100</v>
      </c>
      <c r="L52" s="1">
        <v>1</v>
      </c>
      <c r="N52" s="1">
        <f t="shared" si="0"/>
        <v>1</v>
      </c>
    </row>
    <row r="53" spans="3:14">
      <c r="C53" s="1" t="s">
        <v>89</v>
      </c>
      <c r="D53" s="1" t="s">
        <v>139</v>
      </c>
      <c r="E53" s="1" t="s">
        <v>358</v>
      </c>
      <c r="F53" s="1" t="s">
        <v>74</v>
      </c>
      <c r="G53" s="1" t="s">
        <v>75</v>
      </c>
      <c r="H53" s="1" t="s">
        <v>76</v>
      </c>
      <c r="I53" s="1">
        <v>309</v>
      </c>
      <c r="J53" s="1" t="s">
        <v>29</v>
      </c>
      <c r="K53" s="1" t="s">
        <v>100</v>
      </c>
      <c r="L53" s="1">
        <v>1</v>
      </c>
      <c r="N53" s="1">
        <f t="shared" si="0"/>
        <v>1</v>
      </c>
    </row>
    <row r="54" spans="3:14">
      <c r="C54" s="1" t="s">
        <v>89</v>
      </c>
      <c r="D54" s="1" t="s">
        <v>140</v>
      </c>
      <c r="E54" s="1" t="s">
        <v>358</v>
      </c>
      <c r="F54" s="1" t="s">
        <v>74</v>
      </c>
      <c r="G54" s="1" t="s">
        <v>75</v>
      </c>
      <c r="H54" s="1" t="s">
        <v>76</v>
      </c>
      <c r="I54" s="1">
        <v>309</v>
      </c>
      <c r="J54" s="1" t="s">
        <v>29</v>
      </c>
      <c r="K54" s="1" t="s">
        <v>100</v>
      </c>
      <c r="L54" s="1">
        <v>1</v>
      </c>
      <c r="N54" s="1">
        <f t="shared" si="0"/>
        <v>1</v>
      </c>
    </row>
    <row r="55" spans="3:14">
      <c r="C55" s="1" t="s">
        <v>89</v>
      </c>
      <c r="D55" s="1" t="s">
        <v>141</v>
      </c>
      <c r="E55" s="1" t="s">
        <v>358</v>
      </c>
      <c r="F55" s="1" t="s">
        <v>74</v>
      </c>
      <c r="G55" s="1" t="s">
        <v>75</v>
      </c>
      <c r="H55" s="1" t="s">
        <v>76</v>
      </c>
      <c r="I55" s="1">
        <v>309</v>
      </c>
      <c r="J55" s="1" t="s">
        <v>29</v>
      </c>
      <c r="K55" s="1" t="s">
        <v>100</v>
      </c>
      <c r="L55" s="1">
        <v>1</v>
      </c>
      <c r="N55" s="1">
        <f t="shared" si="0"/>
        <v>1</v>
      </c>
    </row>
    <row r="56" spans="3:14">
      <c r="C56" s="1" t="s">
        <v>89</v>
      </c>
      <c r="D56" s="1" t="s">
        <v>142</v>
      </c>
      <c r="E56" s="1" t="s">
        <v>358</v>
      </c>
      <c r="F56" s="1" t="s">
        <v>74</v>
      </c>
      <c r="G56" s="1" t="s">
        <v>75</v>
      </c>
      <c r="H56" s="1" t="s">
        <v>76</v>
      </c>
      <c r="I56" s="1">
        <v>309</v>
      </c>
      <c r="J56" s="1" t="s">
        <v>29</v>
      </c>
      <c r="K56" s="1" t="s">
        <v>100</v>
      </c>
      <c r="L56" s="1">
        <v>1</v>
      </c>
      <c r="N56" s="1">
        <f t="shared" si="0"/>
        <v>1</v>
      </c>
    </row>
    <row r="57" spans="3:14">
      <c r="C57" s="1" t="s">
        <v>89</v>
      </c>
      <c r="D57" s="1" t="s">
        <v>143</v>
      </c>
      <c r="E57" s="1" t="s">
        <v>358</v>
      </c>
      <c r="F57" s="1" t="s">
        <v>74</v>
      </c>
      <c r="G57" s="1" t="s">
        <v>75</v>
      </c>
      <c r="H57" s="1" t="s">
        <v>76</v>
      </c>
      <c r="I57" s="1">
        <v>309</v>
      </c>
      <c r="J57" s="1" t="s">
        <v>29</v>
      </c>
      <c r="K57" s="1" t="s">
        <v>100</v>
      </c>
      <c r="L57" s="1">
        <v>1</v>
      </c>
      <c r="N57" s="1">
        <f t="shared" si="0"/>
        <v>1</v>
      </c>
    </row>
    <row r="58" spans="3:14">
      <c r="C58" s="1" t="s">
        <v>89</v>
      </c>
      <c r="D58" s="1" t="s">
        <v>144</v>
      </c>
      <c r="E58" s="1" t="s">
        <v>358</v>
      </c>
      <c r="F58" s="1" t="s">
        <v>74</v>
      </c>
      <c r="G58" s="1" t="s">
        <v>75</v>
      </c>
      <c r="H58" s="1" t="s">
        <v>76</v>
      </c>
      <c r="I58" s="1">
        <v>309</v>
      </c>
      <c r="J58" s="1" t="s">
        <v>29</v>
      </c>
      <c r="K58" s="1" t="s">
        <v>100</v>
      </c>
      <c r="L58" s="1">
        <v>1</v>
      </c>
      <c r="N58" s="1">
        <f t="shared" si="0"/>
        <v>1</v>
      </c>
    </row>
    <row r="59" spans="3:14">
      <c r="C59" s="1" t="s">
        <v>89</v>
      </c>
      <c r="D59" s="1" t="s">
        <v>145</v>
      </c>
      <c r="E59" s="1" t="s">
        <v>358</v>
      </c>
      <c r="F59" s="1" t="s">
        <v>74</v>
      </c>
      <c r="G59" s="1" t="s">
        <v>75</v>
      </c>
      <c r="H59" s="1" t="s">
        <v>76</v>
      </c>
      <c r="I59" s="1">
        <v>309</v>
      </c>
      <c r="J59" s="1" t="s">
        <v>29</v>
      </c>
      <c r="K59" s="1" t="s">
        <v>100</v>
      </c>
      <c r="L59" s="1">
        <v>1</v>
      </c>
      <c r="N59" s="1">
        <f t="shared" si="0"/>
        <v>1</v>
      </c>
    </row>
    <row r="60" spans="3:14">
      <c r="C60" s="1" t="s">
        <v>89</v>
      </c>
      <c r="D60" s="1" t="s">
        <v>146</v>
      </c>
      <c r="E60" s="1" t="s">
        <v>358</v>
      </c>
      <c r="F60" s="1" t="s">
        <v>74</v>
      </c>
      <c r="G60" s="1" t="s">
        <v>75</v>
      </c>
      <c r="H60" s="1" t="s">
        <v>76</v>
      </c>
      <c r="I60" s="1">
        <v>309</v>
      </c>
      <c r="J60" s="1" t="s">
        <v>29</v>
      </c>
      <c r="K60" s="1" t="s">
        <v>100</v>
      </c>
      <c r="L60" s="1">
        <v>1</v>
      </c>
      <c r="N60" s="1">
        <f t="shared" si="0"/>
        <v>1</v>
      </c>
    </row>
    <row r="61" spans="3:14">
      <c r="C61" s="1" t="s">
        <v>89</v>
      </c>
      <c r="D61" s="1" t="s">
        <v>147</v>
      </c>
      <c r="E61" s="1" t="s">
        <v>358</v>
      </c>
      <c r="F61" s="1" t="s">
        <v>74</v>
      </c>
      <c r="G61" s="1" t="s">
        <v>75</v>
      </c>
      <c r="H61" s="1" t="s">
        <v>76</v>
      </c>
      <c r="I61" s="1">
        <v>309</v>
      </c>
      <c r="J61" s="1" t="s">
        <v>29</v>
      </c>
      <c r="K61" s="1" t="s">
        <v>100</v>
      </c>
      <c r="L61" s="1">
        <v>1</v>
      </c>
      <c r="N61" s="1">
        <f t="shared" si="0"/>
        <v>1</v>
      </c>
    </row>
    <row r="62" spans="3:14">
      <c r="C62" s="1" t="s">
        <v>89</v>
      </c>
      <c r="D62" s="1" t="s">
        <v>148</v>
      </c>
      <c r="E62" s="1" t="s">
        <v>358</v>
      </c>
      <c r="F62" s="1" t="s">
        <v>74</v>
      </c>
      <c r="G62" s="1" t="s">
        <v>75</v>
      </c>
      <c r="H62" s="1" t="s">
        <v>76</v>
      </c>
      <c r="I62" s="1">
        <v>309</v>
      </c>
      <c r="J62" s="1" t="s">
        <v>29</v>
      </c>
      <c r="K62" s="1" t="s">
        <v>100</v>
      </c>
      <c r="L62" s="1">
        <v>1</v>
      </c>
      <c r="N62" s="1">
        <f t="shared" si="0"/>
        <v>1</v>
      </c>
    </row>
    <row r="63" spans="3:14">
      <c r="C63" s="1" t="s">
        <v>89</v>
      </c>
      <c r="D63" s="1" t="s">
        <v>149</v>
      </c>
      <c r="E63" s="1" t="s">
        <v>358</v>
      </c>
      <c r="F63" s="1" t="s">
        <v>74</v>
      </c>
      <c r="G63" s="1" t="s">
        <v>75</v>
      </c>
      <c r="H63" s="1" t="s">
        <v>76</v>
      </c>
      <c r="I63" s="1">
        <v>309</v>
      </c>
      <c r="J63" s="1" t="s">
        <v>29</v>
      </c>
      <c r="K63" s="1" t="s">
        <v>100</v>
      </c>
      <c r="L63" s="1">
        <v>1</v>
      </c>
      <c r="N63" s="1">
        <f t="shared" si="0"/>
        <v>1</v>
      </c>
    </row>
    <row r="64" spans="3:14">
      <c r="C64" s="1" t="s">
        <v>89</v>
      </c>
      <c r="D64" s="1" t="s">
        <v>150</v>
      </c>
      <c r="E64" s="1" t="s">
        <v>358</v>
      </c>
      <c r="F64" s="1" t="s">
        <v>74</v>
      </c>
      <c r="G64" s="1" t="s">
        <v>75</v>
      </c>
      <c r="H64" s="1" t="s">
        <v>76</v>
      </c>
      <c r="I64" s="1">
        <v>309</v>
      </c>
      <c r="J64" s="1" t="s">
        <v>29</v>
      </c>
      <c r="K64" s="1" t="s">
        <v>100</v>
      </c>
      <c r="L64" s="1">
        <v>1</v>
      </c>
      <c r="N64" s="1">
        <f t="shared" si="0"/>
        <v>1</v>
      </c>
    </row>
    <row r="65" spans="3:14">
      <c r="C65" s="1" t="s">
        <v>89</v>
      </c>
      <c r="D65" s="1" t="s">
        <v>151</v>
      </c>
      <c r="E65" s="1" t="s">
        <v>358</v>
      </c>
      <c r="F65" s="1" t="s">
        <v>74</v>
      </c>
      <c r="G65" s="1" t="s">
        <v>75</v>
      </c>
      <c r="H65" s="1" t="s">
        <v>76</v>
      </c>
      <c r="I65" s="1">
        <v>309</v>
      </c>
      <c r="J65" s="1" t="s">
        <v>29</v>
      </c>
      <c r="K65" s="1" t="s">
        <v>100</v>
      </c>
      <c r="L65" s="1">
        <v>1</v>
      </c>
      <c r="N65" s="1">
        <f t="shared" si="0"/>
        <v>1</v>
      </c>
    </row>
    <row r="66" spans="3:14">
      <c r="C66" s="1" t="s">
        <v>89</v>
      </c>
      <c r="D66" s="1" t="s">
        <v>152</v>
      </c>
      <c r="E66" s="1" t="s">
        <v>358</v>
      </c>
      <c r="F66" s="1" t="s">
        <v>74</v>
      </c>
      <c r="G66" s="1" t="s">
        <v>75</v>
      </c>
      <c r="H66" s="1" t="s">
        <v>76</v>
      </c>
      <c r="I66" s="1">
        <v>309</v>
      </c>
      <c r="J66" s="1" t="s">
        <v>29</v>
      </c>
      <c r="K66" s="1" t="s">
        <v>100</v>
      </c>
      <c r="L66" s="1">
        <v>1</v>
      </c>
      <c r="N66" s="1">
        <f t="shared" ref="N66:N128" si="1">IF(TRIM(D66)="", "", IF(N(L66)-N(M66)&lt;=0, "X", N(L66)-N(M66)))</f>
        <v>1</v>
      </c>
    </row>
    <row r="67" spans="3:14">
      <c r="C67" s="1" t="s">
        <v>89</v>
      </c>
      <c r="D67" s="1" t="s">
        <v>153</v>
      </c>
      <c r="E67" s="1" t="s">
        <v>358</v>
      </c>
      <c r="F67" s="1" t="s">
        <v>74</v>
      </c>
      <c r="G67" s="1" t="s">
        <v>75</v>
      </c>
      <c r="H67" s="1" t="s">
        <v>76</v>
      </c>
      <c r="I67" s="1">
        <v>309</v>
      </c>
      <c r="J67" s="1" t="s">
        <v>29</v>
      </c>
      <c r="K67" s="1" t="s">
        <v>100</v>
      </c>
      <c r="L67" s="1">
        <v>1</v>
      </c>
      <c r="N67" s="1">
        <f t="shared" si="1"/>
        <v>1</v>
      </c>
    </row>
    <row r="68" spans="3:14">
      <c r="C68" s="1" t="s">
        <v>89</v>
      </c>
      <c r="D68" s="1" t="s">
        <v>154</v>
      </c>
      <c r="E68" s="1" t="s">
        <v>358</v>
      </c>
      <c r="F68" s="1" t="s">
        <v>74</v>
      </c>
      <c r="G68" s="1" t="s">
        <v>75</v>
      </c>
      <c r="H68" s="1" t="s">
        <v>76</v>
      </c>
      <c r="I68" s="1">
        <v>309</v>
      </c>
      <c r="J68" s="1" t="s">
        <v>29</v>
      </c>
      <c r="K68" s="1" t="s">
        <v>100</v>
      </c>
      <c r="L68" s="1">
        <v>1</v>
      </c>
      <c r="N68" s="1">
        <f t="shared" si="1"/>
        <v>1</v>
      </c>
    </row>
    <row r="69" spans="3:14">
      <c r="C69" s="1" t="s">
        <v>89</v>
      </c>
      <c r="D69" s="1" t="s">
        <v>155</v>
      </c>
      <c r="E69" s="1" t="s">
        <v>358</v>
      </c>
      <c r="F69" s="1" t="s">
        <v>74</v>
      </c>
      <c r="G69" s="1" t="s">
        <v>75</v>
      </c>
      <c r="H69" s="1" t="s">
        <v>76</v>
      </c>
      <c r="I69" s="1">
        <v>309</v>
      </c>
      <c r="J69" s="1" t="s">
        <v>29</v>
      </c>
      <c r="K69" s="1" t="s">
        <v>100</v>
      </c>
      <c r="L69" s="1">
        <v>1</v>
      </c>
      <c r="N69" s="1">
        <f t="shared" si="1"/>
        <v>1</v>
      </c>
    </row>
    <row r="70" spans="3:14">
      <c r="C70" s="1" t="s">
        <v>89</v>
      </c>
      <c r="D70" s="1" t="s">
        <v>156</v>
      </c>
      <c r="E70" s="1" t="s">
        <v>358</v>
      </c>
      <c r="F70" s="1" t="s">
        <v>74</v>
      </c>
      <c r="G70" s="1" t="s">
        <v>75</v>
      </c>
      <c r="H70" s="1" t="s">
        <v>76</v>
      </c>
      <c r="I70" s="1">
        <v>309</v>
      </c>
      <c r="J70" s="1" t="s">
        <v>29</v>
      </c>
      <c r="K70" s="1" t="s">
        <v>100</v>
      </c>
      <c r="L70" s="1">
        <v>1</v>
      </c>
      <c r="N70" s="1">
        <f t="shared" si="1"/>
        <v>1</v>
      </c>
    </row>
    <row r="71" spans="3:14">
      <c r="C71" s="1" t="s">
        <v>89</v>
      </c>
      <c r="D71" s="1" t="s">
        <v>157</v>
      </c>
      <c r="E71" s="1" t="s">
        <v>358</v>
      </c>
      <c r="F71" s="1" t="s">
        <v>74</v>
      </c>
      <c r="G71" s="1" t="s">
        <v>75</v>
      </c>
      <c r="H71" s="1" t="s">
        <v>76</v>
      </c>
      <c r="I71" s="1">
        <v>309</v>
      </c>
      <c r="J71" s="1" t="s">
        <v>29</v>
      </c>
      <c r="K71" s="1" t="s">
        <v>100</v>
      </c>
      <c r="L71" s="1">
        <v>1</v>
      </c>
      <c r="N71" s="1">
        <f t="shared" si="1"/>
        <v>1</v>
      </c>
    </row>
    <row r="72" spans="3:14">
      <c r="C72" s="1" t="s">
        <v>89</v>
      </c>
      <c r="D72" s="1" t="s">
        <v>158</v>
      </c>
      <c r="E72" s="1" t="s">
        <v>358</v>
      </c>
      <c r="F72" s="1" t="s">
        <v>74</v>
      </c>
      <c r="G72" s="1" t="s">
        <v>75</v>
      </c>
      <c r="H72" s="1" t="s">
        <v>76</v>
      </c>
      <c r="I72" s="1">
        <v>309</v>
      </c>
      <c r="J72" s="1" t="s">
        <v>29</v>
      </c>
      <c r="K72" s="1" t="s">
        <v>100</v>
      </c>
      <c r="L72" s="1">
        <v>1</v>
      </c>
      <c r="N72" s="1">
        <f t="shared" si="1"/>
        <v>1</v>
      </c>
    </row>
    <row r="73" spans="3:14">
      <c r="C73" s="1" t="s">
        <v>89</v>
      </c>
      <c r="D73" s="1" t="s">
        <v>159</v>
      </c>
      <c r="E73" s="1" t="s">
        <v>358</v>
      </c>
      <c r="F73" s="1" t="s">
        <v>74</v>
      </c>
      <c r="G73" s="1" t="s">
        <v>75</v>
      </c>
      <c r="H73" s="1" t="s">
        <v>76</v>
      </c>
      <c r="I73" s="1">
        <v>309</v>
      </c>
      <c r="J73" s="1" t="s">
        <v>29</v>
      </c>
      <c r="K73" s="1" t="s">
        <v>100</v>
      </c>
      <c r="L73" s="1">
        <v>1</v>
      </c>
      <c r="N73" s="1">
        <f t="shared" si="1"/>
        <v>1</v>
      </c>
    </row>
    <row r="74" spans="3:14">
      <c r="C74" s="1" t="s">
        <v>89</v>
      </c>
      <c r="D74" s="1" t="s">
        <v>160</v>
      </c>
      <c r="E74" s="1" t="s">
        <v>358</v>
      </c>
      <c r="F74" s="1" t="s">
        <v>74</v>
      </c>
      <c r="G74" s="1" t="s">
        <v>75</v>
      </c>
      <c r="H74" s="1" t="s">
        <v>76</v>
      </c>
      <c r="I74" s="1">
        <v>309</v>
      </c>
      <c r="J74" s="1" t="s">
        <v>29</v>
      </c>
      <c r="K74" s="1" t="s">
        <v>100</v>
      </c>
      <c r="L74" s="1">
        <v>1</v>
      </c>
      <c r="N74" s="1">
        <f t="shared" si="1"/>
        <v>1</v>
      </c>
    </row>
    <row r="75" spans="3:14">
      <c r="C75" s="1" t="s">
        <v>89</v>
      </c>
      <c r="D75" s="1" t="s">
        <v>161</v>
      </c>
      <c r="E75" s="1" t="s">
        <v>358</v>
      </c>
      <c r="F75" s="1" t="s">
        <v>162</v>
      </c>
      <c r="G75" s="1" t="s">
        <v>163</v>
      </c>
      <c r="H75" s="1" t="s">
        <v>76</v>
      </c>
      <c r="I75" s="1">
        <v>309</v>
      </c>
      <c r="J75" s="1" t="s">
        <v>29</v>
      </c>
      <c r="K75" s="1" t="s">
        <v>100</v>
      </c>
      <c r="L75" s="1">
        <v>1</v>
      </c>
      <c r="N75" s="1">
        <f t="shared" si="1"/>
        <v>1</v>
      </c>
    </row>
    <row r="76" spans="3:14">
      <c r="C76" s="1" t="s">
        <v>89</v>
      </c>
      <c r="D76" s="1" t="s">
        <v>164</v>
      </c>
      <c r="E76" s="1" t="s">
        <v>358</v>
      </c>
      <c r="F76" s="1" t="s">
        <v>165</v>
      </c>
      <c r="G76" s="1" t="s">
        <v>166</v>
      </c>
      <c r="H76" s="1" t="s">
        <v>76</v>
      </c>
      <c r="I76" s="1">
        <v>309</v>
      </c>
      <c r="J76" s="1" t="s">
        <v>29</v>
      </c>
      <c r="K76" s="1" t="s">
        <v>100</v>
      </c>
      <c r="L76" s="1">
        <v>1</v>
      </c>
      <c r="N76" s="1">
        <f t="shared" si="1"/>
        <v>1</v>
      </c>
    </row>
    <row r="77" spans="3:14">
      <c r="C77" s="1" t="s">
        <v>89</v>
      </c>
      <c r="D77" s="1" t="s">
        <v>167</v>
      </c>
      <c r="E77" s="1" t="s">
        <v>358</v>
      </c>
      <c r="F77" s="1" t="s">
        <v>168</v>
      </c>
      <c r="G77" s="1" t="s">
        <v>169</v>
      </c>
      <c r="H77" s="1" t="s">
        <v>76</v>
      </c>
      <c r="I77" s="1">
        <v>309</v>
      </c>
      <c r="J77" s="1" t="s">
        <v>29</v>
      </c>
      <c r="K77" s="1" t="s">
        <v>100</v>
      </c>
      <c r="L77" s="1">
        <v>1</v>
      </c>
      <c r="N77" s="1">
        <f t="shared" si="1"/>
        <v>1</v>
      </c>
    </row>
    <row r="78" spans="3:14">
      <c r="C78" s="1" t="s">
        <v>89</v>
      </c>
      <c r="D78" s="1" t="s">
        <v>170</v>
      </c>
      <c r="E78" s="1" t="s">
        <v>358</v>
      </c>
      <c r="F78" s="1" t="s">
        <v>171</v>
      </c>
      <c r="G78" s="1" t="s">
        <v>172</v>
      </c>
      <c r="H78" s="1" t="s">
        <v>76</v>
      </c>
      <c r="I78" s="1">
        <v>309</v>
      </c>
      <c r="J78" s="1" t="s">
        <v>29</v>
      </c>
      <c r="K78" s="1" t="s">
        <v>100</v>
      </c>
      <c r="L78" s="1">
        <v>1</v>
      </c>
      <c r="N78" s="1">
        <f t="shared" si="1"/>
        <v>1</v>
      </c>
    </row>
    <row r="79" spans="3:14">
      <c r="C79" s="1" t="s">
        <v>89</v>
      </c>
      <c r="D79" s="1" t="s">
        <v>173</v>
      </c>
      <c r="E79" s="1" t="s">
        <v>358</v>
      </c>
      <c r="F79" s="1" t="s">
        <v>174</v>
      </c>
      <c r="G79" s="1" t="s">
        <v>175</v>
      </c>
      <c r="H79" s="1" t="s">
        <v>76</v>
      </c>
      <c r="I79" s="1">
        <v>309</v>
      </c>
      <c r="J79" s="1" t="s">
        <v>29</v>
      </c>
      <c r="K79" s="1" t="s">
        <v>100</v>
      </c>
      <c r="L79" s="1">
        <v>1</v>
      </c>
      <c r="N79" s="1">
        <f t="shared" si="1"/>
        <v>1</v>
      </c>
    </row>
    <row r="80" spans="3:14">
      <c r="C80" s="1" t="s">
        <v>89</v>
      </c>
      <c r="D80" s="1" t="s">
        <v>176</v>
      </c>
      <c r="E80" s="1" t="s">
        <v>358</v>
      </c>
      <c r="F80" s="1" t="s">
        <v>177</v>
      </c>
      <c r="G80" s="1" t="s">
        <v>178</v>
      </c>
      <c r="H80" s="1" t="s">
        <v>76</v>
      </c>
      <c r="I80" s="1">
        <v>309</v>
      </c>
      <c r="J80" s="1" t="s">
        <v>29</v>
      </c>
      <c r="K80" s="1" t="s">
        <v>100</v>
      </c>
      <c r="L80" s="1">
        <v>1</v>
      </c>
      <c r="N80" s="1">
        <f t="shared" si="1"/>
        <v>1</v>
      </c>
    </row>
    <row r="81" spans="1:15">
      <c r="C81" s="1" t="s">
        <v>89</v>
      </c>
      <c r="D81" s="1" t="s">
        <v>179</v>
      </c>
      <c r="E81" s="1" t="s">
        <v>358</v>
      </c>
      <c r="F81" s="1" t="s">
        <v>180</v>
      </c>
      <c r="G81" s="1" t="s">
        <v>181</v>
      </c>
      <c r="H81" s="1" t="s">
        <v>76</v>
      </c>
      <c r="I81" s="1">
        <v>309</v>
      </c>
      <c r="J81" s="1" t="s">
        <v>29</v>
      </c>
      <c r="K81" s="1" t="s">
        <v>100</v>
      </c>
      <c r="L81" s="1">
        <v>1</v>
      </c>
      <c r="N81" s="1">
        <f t="shared" si="1"/>
        <v>1</v>
      </c>
    </row>
    <row r="82" spans="1:15">
      <c r="C82" s="1" t="s">
        <v>89</v>
      </c>
      <c r="D82" s="1" t="s">
        <v>182</v>
      </c>
      <c r="E82" s="1" t="s">
        <v>358</v>
      </c>
      <c r="F82" s="1" t="s">
        <v>183</v>
      </c>
      <c r="G82" s="1" t="s">
        <v>184</v>
      </c>
      <c r="H82" s="1" t="s">
        <v>76</v>
      </c>
      <c r="I82" s="1">
        <v>309</v>
      </c>
      <c r="J82" s="1" t="s">
        <v>29</v>
      </c>
      <c r="K82" s="1" t="s">
        <v>100</v>
      </c>
      <c r="L82" s="1">
        <v>1</v>
      </c>
      <c r="N82" s="1">
        <f t="shared" si="1"/>
        <v>1</v>
      </c>
    </row>
    <row r="83" spans="1:15">
      <c r="C83" s="1" t="s">
        <v>89</v>
      </c>
      <c r="D83" s="1" t="s">
        <v>185</v>
      </c>
      <c r="E83" s="1" t="s">
        <v>358</v>
      </c>
      <c r="F83" s="1" t="s">
        <v>186</v>
      </c>
      <c r="G83" s="1" t="s">
        <v>187</v>
      </c>
      <c r="H83" s="1" t="s">
        <v>76</v>
      </c>
      <c r="I83" s="1">
        <v>309</v>
      </c>
      <c r="J83" s="1" t="s">
        <v>29</v>
      </c>
      <c r="K83" s="1" t="s">
        <v>100</v>
      </c>
      <c r="L83" s="1">
        <v>1</v>
      </c>
      <c r="N83" s="1">
        <f t="shared" si="1"/>
        <v>1</v>
      </c>
    </row>
    <row r="84" spans="1:15">
      <c r="C84" s="1" t="s">
        <v>89</v>
      </c>
      <c r="D84" s="1" t="s">
        <v>188</v>
      </c>
      <c r="E84" s="1" t="s">
        <v>358</v>
      </c>
      <c r="F84" s="1" t="s">
        <v>189</v>
      </c>
      <c r="G84" s="1" t="s">
        <v>190</v>
      </c>
      <c r="H84" s="1" t="s">
        <v>76</v>
      </c>
      <c r="I84" s="1">
        <v>309</v>
      </c>
      <c r="J84" s="1" t="s">
        <v>29</v>
      </c>
      <c r="K84" s="1" t="s">
        <v>100</v>
      </c>
      <c r="L84" s="1">
        <v>1</v>
      </c>
      <c r="N84" s="1">
        <f t="shared" si="1"/>
        <v>1</v>
      </c>
    </row>
    <row r="85" spans="1:15">
      <c r="C85" s="1" t="s">
        <v>89</v>
      </c>
      <c r="D85" s="1" t="s">
        <v>191</v>
      </c>
      <c r="E85" s="1" t="s">
        <v>358</v>
      </c>
      <c r="F85" s="1" t="s">
        <v>192</v>
      </c>
      <c r="G85" s="1" t="s">
        <v>193</v>
      </c>
      <c r="H85" s="1" t="s">
        <v>76</v>
      </c>
      <c r="I85" s="1">
        <v>309</v>
      </c>
      <c r="J85" s="1" t="s">
        <v>29</v>
      </c>
      <c r="K85" s="1" t="s">
        <v>100</v>
      </c>
      <c r="L85" s="1">
        <v>1</v>
      </c>
      <c r="N85" s="1">
        <f t="shared" si="1"/>
        <v>1</v>
      </c>
    </row>
    <row r="86" spans="1:15">
      <c r="C86" s="1" t="s">
        <v>89</v>
      </c>
      <c r="D86" s="1" t="s">
        <v>194</v>
      </c>
      <c r="E86" s="1" t="s">
        <v>358</v>
      </c>
      <c r="F86" s="1" t="s">
        <v>195</v>
      </c>
      <c r="G86" s="1" t="s">
        <v>196</v>
      </c>
      <c r="H86" s="1" t="s">
        <v>76</v>
      </c>
      <c r="I86" s="1">
        <v>309</v>
      </c>
      <c r="J86" s="1" t="s">
        <v>29</v>
      </c>
      <c r="K86" s="1" t="s">
        <v>100</v>
      </c>
      <c r="L86" s="1">
        <v>1</v>
      </c>
      <c r="N86" s="1">
        <f t="shared" si="1"/>
        <v>1</v>
      </c>
    </row>
    <row r="87" spans="1:15">
      <c r="C87" s="1" t="s">
        <v>89</v>
      </c>
      <c r="D87" s="1" t="s">
        <v>197</v>
      </c>
      <c r="E87" s="1" t="s">
        <v>358</v>
      </c>
      <c r="F87" s="1" t="s">
        <v>198</v>
      </c>
      <c r="G87" s="1" t="s">
        <v>199</v>
      </c>
      <c r="H87" s="1" t="s">
        <v>76</v>
      </c>
      <c r="I87" s="1">
        <v>309</v>
      </c>
      <c r="J87" s="1" t="s">
        <v>29</v>
      </c>
      <c r="K87" s="1" t="s">
        <v>100</v>
      </c>
      <c r="L87" s="1">
        <v>1</v>
      </c>
      <c r="N87" s="1">
        <f t="shared" si="1"/>
        <v>1</v>
      </c>
    </row>
    <row r="88" spans="1:15">
      <c r="C88" s="1" t="s">
        <v>89</v>
      </c>
      <c r="D88" s="1" t="s">
        <v>200</v>
      </c>
      <c r="E88" s="1" t="s">
        <v>358</v>
      </c>
      <c r="F88" s="1" t="s">
        <v>201</v>
      </c>
      <c r="G88" s="1" t="s">
        <v>202</v>
      </c>
      <c r="H88" s="1" t="s">
        <v>76</v>
      </c>
      <c r="I88" s="1">
        <v>309</v>
      </c>
      <c r="J88" s="1" t="s">
        <v>29</v>
      </c>
      <c r="K88" s="1" t="s">
        <v>100</v>
      </c>
      <c r="L88" s="1">
        <v>1</v>
      </c>
      <c r="N88" s="1">
        <f t="shared" si="1"/>
        <v>1</v>
      </c>
    </row>
    <row r="89" spans="1:15">
      <c r="C89" s="1" t="s">
        <v>89</v>
      </c>
      <c r="D89" s="1" t="s">
        <v>203</v>
      </c>
      <c r="E89" s="1" t="s">
        <v>358</v>
      </c>
      <c r="F89" s="1" t="s">
        <v>204</v>
      </c>
      <c r="G89" s="1" t="s">
        <v>205</v>
      </c>
      <c r="H89" s="1" t="s">
        <v>76</v>
      </c>
      <c r="I89" s="1">
        <v>309</v>
      </c>
      <c r="J89" s="1" t="s">
        <v>29</v>
      </c>
      <c r="K89" s="1" t="s">
        <v>100</v>
      </c>
      <c r="L89" s="1">
        <v>1</v>
      </c>
      <c r="N89" s="1">
        <f t="shared" si="1"/>
        <v>1</v>
      </c>
    </row>
    <row r="90" spans="1:15">
      <c r="C90" s="1" t="s">
        <v>89</v>
      </c>
      <c r="D90" s="1" t="s">
        <v>206</v>
      </c>
      <c r="E90" s="1" t="s">
        <v>358</v>
      </c>
      <c r="F90" s="1" t="s">
        <v>207</v>
      </c>
      <c r="G90" s="1" t="s">
        <v>208</v>
      </c>
      <c r="H90" s="1" t="s">
        <v>76</v>
      </c>
      <c r="I90" s="1">
        <v>309</v>
      </c>
      <c r="J90" s="1" t="s">
        <v>29</v>
      </c>
      <c r="K90" s="1" t="s">
        <v>100</v>
      </c>
      <c r="L90" s="1">
        <v>1</v>
      </c>
      <c r="N90" s="1">
        <f t="shared" si="1"/>
        <v>1</v>
      </c>
    </row>
    <row r="91" spans="1:15">
      <c r="C91" s="1" t="s">
        <v>89</v>
      </c>
      <c r="D91" s="1" t="s">
        <v>209</v>
      </c>
      <c r="E91" s="1" t="s">
        <v>358</v>
      </c>
      <c r="F91" s="1" t="s">
        <v>210</v>
      </c>
      <c r="G91" s="1" t="s">
        <v>211</v>
      </c>
      <c r="H91" s="1" t="s">
        <v>76</v>
      </c>
      <c r="I91" s="1">
        <v>309</v>
      </c>
      <c r="J91" s="1" t="s">
        <v>29</v>
      </c>
      <c r="K91" s="1" t="s">
        <v>100</v>
      </c>
      <c r="L91" s="1">
        <v>1</v>
      </c>
      <c r="N91" s="1">
        <f t="shared" si="1"/>
        <v>1</v>
      </c>
    </row>
    <row r="92" spans="1:15">
      <c r="C92" s="1" t="s">
        <v>89</v>
      </c>
      <c r="D92" s="1" t="s">
        <v>212</v>
      </c>
      <c r="E92" s="1" t="s">
        <v>358</v>
      </c>
      <c r="F92" s="1" t="s">
        <v>213</v>
      </c>
      <c r="G92" s="1" t="s">
        <v>214</v>
      </c>
      <c r="H92" s="1" t="s">
        <v>76</v>
      </c>
      <c r="I92" s="1">
        <v>309</v>
      </c>
      <c r="J92" s="1" t="s">
        <v>29</v>
      </c>
      <c r="K92" s="1" t="s">
        <v>100</v>
      </c>
      <c r="L92" s="1">
        <v>1</v>
      </c>
      <c r="N92" s="1">
        <f t="shared" si="1"/>
        <v>1</v>
      </c>
    </row>
    <row r="93" spans="1:15">
      <c r="C93" s="1" t="s">
        <v>89</v>
      </c>
      <c r="D93" s="1" t="s">
        <v>215</v>
      </c>
      <c r="E93" s="1" t="s">
        <v>358</v>
      </c>
      <c r="F93" s="1" t="s">
        <v>216</v>
      </c>
      <c r="G93" s="1" t="s">
        <v>217</v>
      </c>
      <c r="H93" s="1" t="s">
        <v>76</v>
      </c>
      <c r="I93" s="1">
        <v>309</v>
      </c>
      <c r="J93" s="1" t="s">
        <v>29</v>
      </c>
      <c r="K93" s="1" t="s">
        <v>100</v>
      </c>
      <c r="L93" s="1">
        <v>1</v>
      </c>
      <c r="N93" s="1">
        <f t="shared" si="1"/>
        <v>1</v>
      </c>
    </row>
    <row r="94" spans="1:15" ht="33" customHeight="1">
      <c r="A94" s="15" t="s">
        <v>224</v>
      </c>
      <c r="B94" s="3" t="s">
        <v>225</v>
      </c>
      <c r="C94" s="15" t="s">
        <v>219</v>
      </c>
      <c r="D94" s="15" t="s">
        <v>226</v>
      </c>
      <c r="E94" s="16" t="s">
        <v>358</v>
      </c>
      <c r="F94" s="15" t="s">
        <v>221</v>
      </c>
      <c r="G94" s="15" t="s">
        <v>227</v>
      </c>
      <c r="H94" s="16">
        <v>659452</v>
      </c>
      <c r="I94" s="1"/>
      <c r="J94" s="1" t="s">
        <v>39</v>
      </c>
      <c r="K94" s="1"/>
      <c r="L94" s="1">
        <v>1</v>
      </c>
      <c r="M94" s="1"/>
      <c r="N94" s="1">
        <f t="shared" si="1"/>
        <v>1</v>
      </c>
      <c r="O94" s="15"/>
    </row>
    <row r="95" spans="1:15">
      <c r="A95" s="15" t="s">
        <v>228</v>
      </c>
      <c r="B95" s="3" t="s">
        <v>218</v>
      </c>
      <c r="C95" s="15" t="s">
        <v>219</v>
      </c>
      <c r="D95" s="15" t="s">
        <v>229</v>
      </c>
      <c r="E95" s="16" t="s">
        <v>358</v>
      </c>
      <c r="F95" s="15" t="s">
        <v>27</v>
      </c>
      <c r="G95" s="15" t="s">
        <v>230</v>
      </c>
      <c r="H95" s="16">
        <v>402788</v>
      </c>
      <c r="I95" s="1"/>
      <c r="J95" s="1" t="s">
        <v>24</v>
      </c>
      <c r="K95" s="1"/>
      <c r="L95" s="1">
        <v>1</v>
      </c>
      <c r="M95" s="1"/>
      <c r="N95" s="1">
        <f t="shared" si="1"/>
        <v>1</v>
      </c>
      <c r="O95" s="15"/>
    </row>
    <row r="96" spans="1:15">
      <c r="E96" s="13" t="s">
        <v>231</v>
      </c>
      <c r="H96" s="13" t="s">
        <v>232</v>
      </c>
      <c r="N96" s="1" t="str">
        <f t="shared" si="1"/>
        <v/>
      </c>
    </row>
    <row r="97" spans="5:14">
      <c r="E97" s="13" t="s">
        <v>73</v>
      </c>
      <c r="H97" s="13" t="s">
        <v>233</v>
      </c>
      <c r="N97" s="1" t="str">
        <f t="shared" si="1"/>
        <v/>
      </c>
    </row>
    <row r="98" spans="5:14" ht="33" customHeight="1">
      <c r="E98" s="13" t="s">
        <v>73</v>
      </c>
      <c r="H98" s="13" t="s">
        <v>234</v>
      </c>
      <c r="N98" s="1" t="str">
        <f t="shared" si="1"/>
        <v/>
      </c>
    </row>
    <row r="99" spans="5:14" ht="33" customHeight="1">
      <c r="E99" s="13" t="s">
        <v>235</v>
      </c>
      <c r="H99" s="13" t="s">
        <v>236</v>
      </c>
      <c r="N99" s="1" t="str">
        <f t="shared" si="1"/>
        <v/>
      </c>
    </row>
    <row r="100" spans="5:14" ht="33" customHeight="1">
      <c r="E100" s="13" t="s">
        <v>235</v>
      </c>
      <c r="H100" s="13" t="s">
        <v>237</v>
      </c>
      <c r="N100" s="1" t="str">
        <f t="shared" si="1"/>
        <v/>
      </c>
    </row>
    <row r="101" spans="5:14"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ref="N129:N192" si="2">IF(TRIM(D129)="", "", IF(N(L129)-N(M129)&lt;=0, "X", N(L129)-N(M129)))</f>
        <v/>
      </c>
    </row>
    <row r="130" spans="14:14">
      <c r="N130" s="1" t="str">
        <f t="shared" si="2"/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ref="N193:N256" si="3">IF(TRIM(D193)="", "", IF(N(L193)-N(M193)&lt;=0, "X", N(L193)-N(M193)))</f>
        <v/>
      </c>
    </row>
    <row r="194" spans="14:14">
      <c r="N194" s="1" t="str">
        <f t="shared" si="3"/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ref="N257:N320" si="4">IF(TRIM(D257)="", "", IF(N(L257)-N(M257)&lt;=0, "X", N(L257)-N(M257)))</f>
        <v/>
      </c>
    </row>
    <row r="258" spans="14:14">
      <c r="N258" s="1" t="str">
        <f t="shared" si="4"/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ref="N321:N384" si="5">IF(TRIM(D321)="", "", IF(N(L321)-N(M321)&lt;=0, "X", N(L321)-N(M321)))</f>
        <v/>
      </c>
    </row>
    <row r="322" spans="14:14">
      <c r="N322" s="1" t="str">
        <f t="shared" si="5"/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ref="N385:N448" si="6">IF(TRIM(D385)="", "", IF(N(L385)-N(M385)&lt;=0, "X", N(L385)-N(M385)))</f>
        <v/>
      </c>
    </row>
    <row r="386" spans="14:14">
      <c r="N386" s="1" t="str">
        <f t="shared" si="6"/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ref="N449:N512" si="7">IF(TRIM(D449)="", "", IF(N(L449)-N(M449)&lt;=0, "X", N(L449)-N(M449)))</f>
        <v/>
      </c>
    </row>
    <row r="450" spans="14:14">
      <c r="N450" s="1" t="str">
        <f t="shared" si="7"/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ref="N513:N576" si="8">IF(TRIM(D513)="", "", IF(N(L513)-N(M513)&lt;=0, "X", N(L513)-N(M513)))</f>
        <v/>
      </c>
    </row>
    <row r="514" spans="14:14">
      <c r="N514" s="1" t="str">
        <f t="shared" si="8"/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ref="N577:N640" si="9">IF(TRIM(D577)="", "", IF(N(L577)-N(M577)&lt;=0, "X", N(L577)-N(M577)))</f>
        <v/>
      </c>
    </row>
    <row r="578" spans="14:14">
      <c r="N578" s="1" t="str">
        <f t="shared" si="9"/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ref="N641:N704" si="10">IF(TRIM(D641)="", "", IF(N(L641)-N(M641)&lt;=0, "X", N(L641)-N(M641)))</f>
        <v/>
      </c>
    </row>
    <row r="642" spans="14:14">
      <c r="N642" s="1" t="str">
        <f t="shared" si="10"/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ref="N705:N768" si="11">IF(TRIM(D705)="", "", IF(N(L705)-N(M705)&lt;=0, "X", N(L705)-N(M705)))</f>
        <v/>
      </c>
    </row>
    <row r="706" spans="14:14">
      <c r="N706" s="1" t="str">
        <f t="shared" si="11"/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ref="N769:N832" si="12">IF(TRIM(D769)="", "", IF(N(L769)-N(M769)&lt;=0, "X", N(L769)-N(M769)))</f>
        <v/>
      </c>
    </row>
    <row r="770" spans="14:14">
      <c r="N770" s="1" t="str">
        <f t="shared" si="12"/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ref="N833:N896" si="13">IF(TRIM(D833)="", "", IF(N(L833)-N(M833)&lt;=0, "X", N(L833)-N(M833)))</f>
        <v/>
      </c>
    </row>
    <row r="834" spans="14:14">
      <c r="N834" s="1" t="str">
        <f t="shared" si="13"/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ref="N897:N960" si="14">IF(TRIM(D897)="", "", IF(N(L897)-N(M897)&lt;=0, "X", N(L897)-N(M897)))</f>
        <v/>
      </c>
    </row>
    <row r="898" spans="14:14">
      <c r="N898" s="1" t="str">
        <f t="shared" si="14"/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ref="N961:N999" si="15">IF(TRIM(D961)="", "", IF(N(L961)-N(M961)&lt;=0, "X", N(L961)-N(M961)))</f>
        <v/>
      </c>
    </row>
    <row r="962" spans="14:14">
      <c r="N962" s="1" t="str">
        <f t="shared" si="15"/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0:G1004">
    <cfRule type="expression" dxfId="9" priority="60" stopIfTrue="1">
      <formula>AND(TRIM(G1000)="", TRIM(D1000)&lt;&gt;"")</formula>
    </cfRule>
  </conditionalFormatting>
  <conditionalFormatting sqref="H2:H1004">
    <cfRule type="expression" dxfId="8" priority="61" stopIfTrue="1">
      <formula>AND(TRIM(H2)="", TRIM(D2)&lt;&gt;"")</formula>
    </cfRule>
  </conditionalFormatting>
  <conditionalFormatting sqref="I1000:I1004">
    <cfRule type="expression" dxfId="7" priority="62" stopIfTrue="1">
      <formula>AND(TRIM(I1000)="", TRIM(D1000)&lt;&gt;"")</formula>
    </cfRule>
  </conditionalFormatting>
  <conditionalFormatting sqref="J1000:J1004">
    <cfRule type="expression" dxfId="6" priority="63" stopIfTrue="1">
      <formula>AND(TRIM(J1000)="", TRIM(D1000)&lt;&gt;"")</formula>
    </cfRule>
  </conditionalFormatting>
  <conditionalFormatting sqref="K1000:K1004">
    <cfRule type="expression" dxfId="5" priority="64" stopIfTrue="1">
      <formula>AND(TRIM(K1000)="", TRIM(D1000)&lt;&gt;"")</formula>
    </cfRule>
  </conditionalFormatting>
  <conditionalFormatting sqref="G2:G999">
    <cfRule type="expression" dxfId="4" priority="158" stopIfTrue="1">
      <formula>AND(TRIM(G2)="", TRIM(D2)&lt;&gt;"")</formula>
    </cfRule>
  </conditionalFormatting>
  <conditionalFormatting sqref="I2:I999">
    <cfRule type="expression" dxfId="3" priority="160" stopIfTrue="1">
      <formula>AND(TRIM(I2)="", TRIM(D2)&lt;&gt;"")</formula>
    </cfRule>
  </conditionalFormatting>
  <conditionalFormatting sqref="J2:J999">
    <cfRule type="expression" dxfId="2" priority="161" stopIfTrue="1">
      <formula>AND(TRIM(J2)="", TRIM(D2)&lt;&gt;"")</formula>
    </cfRule>
  </conditionalFormatting>
  <conditionalFormatting sqref="K2:K999">
    <cfRule type="expression" dxfId="1" priority="162" stopIfTrue="1">
      <formula>AND(TRIM(K2)="", TRIM(D2)&lt;&gt;"")</formula>
    </cfRule>
  </conditionalFormatting>
  <conditionalFormatting sqref="N2:N999">
    <cfRule type="cellIs" dxfId="0" priority="163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238</v>
      </c>
      <c r="B1" s="1"/>
      <c r="C1" s="2" t="s">
        <v>239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39</v>
      </c>
      <c r="D2" s="1"/>
      <c r="E2" s="1">
        <v>309</v>
      </c>
      <c r="F2" s="1" t="s">
        <v>39</v>
      </c>
      <c r="G2" s="1" t="s">
        <v>35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24</v>
      </c>
      <c r="D3" s="1"/>
      <c r="E3" s="1">
        <v>309</v>
      </c>
      <c r="F3" s="1" t="s">
        <v>39</v>
      </c>
      <c r="G3" s="1" t="s">
        <v>40</v>
      </c>
      <c r="H3" s="18" t="str">
        <f t="shared" si="0"/>
        <v>309_RT</v>
      </c>
    </row>
    <row r="4" spans="1:8">
      <c r="A4" s="1">
        <v>1001</v>
      </c>
      <c r="B4" s="1"/>
      <c r="C4" s="1" t="s">
        <v>29</v>
      </c>
      <c r="D4" s="1"/>
      <c r="E4" s="1">
        <v>309</v>
      </c>
      <c r="F4" s="1" t="s">
        <v>39</v>
      </c>
      <c r="G4" s="1" t="s">
        <v>240</v>
      </c>
      <c r="H4" s="18" t="str">
        <f t="shared" si="0"/>
        <v>309_RT</v>
      </c>
    </row>
    <row r="5" spans="1:8">
      <c r="A5" s="1"/>
      <c r="B5" s="1"/>
      <c r="C5" s="1" t="s">
        <v>47</v>
      </c>
      <c r="D5" s="1"/>
      <c r="E5" s="1">
        <v>309</v>
      </c>
      <c r="F5" s="1" t="s">
        <v>29</v>
      </c>
      <c r="G5" s="1" t="s">
        <v>100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47</v>
      </c>
      <c r="G6" s="1" t="s">
        <v>54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39</v>
      </c>
      <c r="G7" s="1" t="s">
        <v>35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39</v>
      </c>
      <c r="G8" s="1" t="s">
        <v>40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39</v>
      </c>
      <c r="G9" s="1" t="s">
        <v>240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29</v>
      </c>
      <c r="G10" s="1" t="s">
        <v>30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47</v>
      </c>
      <c r="G11" s="1" t="s">
        <v>54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47</v>
      </c>
      <c r="G12" s="1" t="s">
        <v>241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47</v>
      </c>
      <c r="G13" s="1" t="s">
        <v>48</v>
      </c>
      <c r="H13" s="18" t="str">
        <f t="shared" si="0"/>
        <v>1018_DF</v>
      </c>
    </row>
    <row r="14" spans="1:8">
      <c r="E14" s="1">
        <v>1001</v>
      </c>
      <c r="F14" s="1" t="s">
        <v>47</v>
      </c>
      <c r="G14" s="1" t="s">
        <v>54</v>
      </c>
      <c r="H14" s="18" t="str">
        <f t="shared" si="0"/>
        <v>1001_DF</v>
      </c>
    </row>
    <row r="15" spans="1:8">
      <c r="E15" s="1">
        <v>1001</v>
      </c>
      <c r="F15" s="1" t="s">
        <v>39</v>
      </c>
      <c r="G15" s="1" t="s">
        <v>40</v>
      </c>
      <c r="H15" s="18" t="str">
        <f t="shared" si="0"/>
        <v>1001_RT</v>
      </c>
    </row>
    <row r="16" spans="1:8">
      <c r="E16" s="1">
        <v>1001</v>
      </c>
      <c r="F16" s="1" t="s">
        <v>24</v>
      </c>
      <c r="G16" s="1" t="s">
        <v>25</v>
      </c>
      <c r="H16" s="18" t="str">
        <f t="shared" si="0"/>
        <v>1001_R</v>
      </c>
    </row>
    <row r="17" spans="5:8">
      <c r="E17" s="1">
        <v>1001</v>
      </c>
      <c r="F17" s="1" t="s">
        <v>29</v>
      </c>
      <c r="G17" s="1" t="s">
        <v>30</v>
      </c>
      <c r="H17" s="18" t="str">
        <f t="shared" si="0"/>
        <v>1001_F</v>
      </c>
    </row>
    <row r="18" spans="5:8">
      <c r="E18" s="1">
        <v>1018</v>
      </c>
      <c r="F18" s="1" t="s">
        <v>24</v>
      </c>
      <c r="G18" s="1" t="s">
        <v>25</v>
      </c>
      <c r="H18" s="18" t="str">
        <f t="shared" si="0"/>
        <v>1018_R</v>
      </c>
    </row>
    <row r="19" spans="5:8">
      <c r="E19" s="1">
        <v>309</v>
      </c>
      <c r="F19" s="1" t="s">
        <v>24</v>
      </c>
      <c r="G19" s="1" t="s">
        <v>25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C15" sqref="C15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242</v>
      </c>
      <c r="B1" s="18" t="s">
        <v>243</v>
      </c>
      <c r="C1" s="18" t="s">
        <v>244</v>
      </c>
      <c r="D1" s="18" t="s">
        <v>245</v>
      </c>
      <c r="E1" s="18" t="s">
        <v>246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247</v>
      </c>
      <c r="M1" s="18" t="s">
        <v>248</v>
      </c>
    </row>
    <row r="2" spans="1:13">
      <c r="A2" s="18" t="s">
        <v>220</v>
      </c>
      <c r="B2" s="18">
        <v>402788</v>
      </c>
      <c r="C2" s="18" t="s">
        <v>229</v>
      </c>
      <c r="D2" s="18" t="s">
        <v>230</v>
      </c>
      <c r="E2" s="18" t="s">
        <v>24</v>
      </c>
      <c r="F2" s="18"/>
      <c r="G2" s="18" t="s">
        <v>250</v>
      </c>
      <c r="H2" s="18" t="s">
        <v>251</v>
      </c>
      <c r="I2" s="18" t="s">
        <v>252</v>
      </c>
      <c r="J2" s="18" t="s">
        <v>253</v>
      </c>
      <c r="K2" s="18" t="s">
        <v>254</v>
      </c>
      <c r="L2" s="18" t="s">
        <v>255</v>
      </c>
      <c r="M2" s="19">
        <v>46244.862233796302</v>
      </c>
    </row>
    <row r="3" spans="1:13">
      <c r="A3" s="18" t="s">
        <v>220</v>
      </c>
      <c r="B3" s="18">
        <v>8.0236099999999997</v>
      </c>
      <c r="C3" s="18" t="s">
        <v>256</v>
      </c>
      <c r="D3" s="18" t="s">
        <v>222</v>
      </c>
      <c r="E3" s="18" t="s">
        <v>223</v>
      </c>
      <c r="F3" s="18"/>
      <c r="G3" s="18" t="s">
        <v>250</v>
      </c>
      <c r="H3" s="18" t="s">
        <v>257</v>
      </c>
      <c r="I3" s="18" t="s">
        <v>258</v>
      </c>
      <c r="J3" s="18" t="s">
        <v>259</v>
      </c>
      <c r="K3" s="18" t="s">
        <v>260</v>
      </c>
      <c r="L3" s="18" t="s">
        <v>255</v>
      </c>
      <c r="M3" s="19">
        <v>46244.861574074072</v>
      </c>
    </row>
    <row r="4" spans="1:13">
      <c r="A4" s="18" t="s">
        <v>261</v>
      </c>
      <c r="B4" s="18" t="s">
        <v>262</v>
      </c>
      <c r="C4" s="18" t="s">
        <v>26</v>
      </c>
      <c r="D4" s="18" t="s">
        <v>28</v>
      </c>
      <c r="E4" s="18" t="s">
        <v>39</v>
      </c>
      <c r="F4" s="18"/>
      <c r="G4" s="18" t="s">
        <v>263</v>
      </c>
      <c r="H4" s="18" t="s">
        <v>264</v>
      </c>
      <c r="I4" s="18" t="s">
        <v>265</v>
      </c>
      <c r="J4" s="18" t="s">
        <v>266</v>
      </c>
      <c r="K4" s="18" t="s">
        <v>267</v>
      </c>
      <c r="L4" s="18" t="s">
        <v>255</v>
      </c>
      <c r="M4" s="18" t="s">
        <v>268</v>
      </c>
    </row>
    <row r="5" spans="1:13">
      <c r="A5" s="18" t="s">
        <v>261</v>
      </c>
      <c r="B5" s="18" t="s">
        <v>269</v>
      </c>
      <c r="C5" s="18" t="s">
        <v>61</v>
      </c>
      <c r="D5" s="18" t="s">
        <v>63</v>
      </c>
      <c r="E5" s="18" t="s">
        <v>39</v>
      </c>
      <c r="F5" s="18"/>
      <c r="G5" s="18" t="s">
        <v>255</v>
      </c>
      <c r="H5" s="18" t="s">
        <v>270</v>
      </c>
      <c r="I5" s="18" t="s">
        <v>271</v>
      </c>
      <c r="J5" s="18" t="s">
        <v>272</v>
      </c>
      <c r="K5" s="18" t="s">
        <v>273</v>
      </c>
      <c r="L5" s="18" t="s">
        <v>255</v>
      </c>
      <c r="M5" s="18" t="s">
        <v>274</v>
      </c>
    </row>
    <row r="6" spans="1:13">
      <c r="A6" s="18" t="s">
        <v>261</v>
      </c>
      <c r="B6" s="18" t="s">
        <v>234</v>
      </c>
      <c r="C6" s="18" t="s">
        <v>275</v>
      </c>
      <c r="D6" s="18" t="s">
        <v>276</v>
      </c>
      <c r="E6" s="18" t="s">
        <v>24</v>
      </c>
      <c r="F6" s="18"/>
      <c r="G6" s="18" t="s">
        <v>250</v>
      </c>
      <c r="H6" s="18" t="s">
        <v>277</v>
      </c>
      <c r="I6" s="18" t="s">
        <v>278</v>
      </c>
      <c r="J6" s="18" t="s">
        <v>279</v>
      </c>
      <c r="K6" s="18" t="s">
        <v>280</v>
      </c>
      <c r="L6" s="18" t="s">
        <v>255</v>
      </c>
      <c r="M6" s="18" t="s">
        <v>281</v>
      </c>
    </row>
    <row r="7" spans="1:13">
      <c r="A7" s="18" t="s">
        <v>261</v>
      </c>
      <c r="B7" s="18" t="s">
        <v>233</v>
      </c>
      <c r="C7" s="18" t="s">
        <v>282</v>
      </c>
      <c r="D7" s="18" t="s">
        <v>283</v>
      </c>
      <c r="E7" s="18" t="s">
        <v>24</v>
      </c>
      <c r="F7" s="18"/>
      <c r="G7" s="18" t="s">
        <v>255</v>
      </c>
      <c r="H7" s="18" t="s">
        <v>255</v>
      </c>
      <c r="I7" s="18" t="s">
        <v>255</v>
      </c>
      <c r="J7" s="18" t="s">
        <v>284</v>
      </c>
      <c r="K7" s="18" t="s">
        <v>285</v>
      </c>
      <c r="L7" s="18" t="s">
        <v>255</v>
      </c>
      <c r="M7" s="18" t="s">
        <v>286</v>
      </c>
    </row>
    <row r="8" spans="1:13">
      <c r="A8" s="18" t="s">
        <v>261</v>
      </c>
      <c r="B8" s="18" t="s">
        <v>287</v>
      </c>
      <c r="C8" s="18" t="s">
        <v>288</v>
      </c>
      <c r="D8" s="18" t="s">
        <v>255</v>
      </c>
      <c r="E8" s="18" t="s">
        <v>255</v>
      </c>
      <c r="F8" s="18"/>
      <c r="G8" s="18"/>
      <c r="H8" s="18"/>
      <c r="I8" s="18"/>
      <c r="J8" s="18" t="s">
        <v>289</v>
      </c>
      <c r="K8" s="18" t="s">
        <v>255</v>
      </c>
      <c r="L8" s="18" t="s">
        <v>255</v>
      </c>
      <c r="M8" s="18" t="s">
        <v>290</v>
      </c>
    </row>
    <row r="9" spans="1:13">
      <c r="A9" s="18" t="s">
        <v>261</v>
      </c>
      <c r="B9" s="18" t="s">
        <v>291</v>
      </c>
      <c r="C9" s="18" t="s">
        <v>256</v>
      </c>
      <c r="D9" s="18" t="s">
        <v>222</v>
      </c>
      <c r="E9" s="18" t="s">
        <v>223</v>
      </c>
      <c r="F9" s="18"/>
      <c r="G9" s="18" t="s">
        <v>250</v>
      </c>
      <c r="H9" s="18" t="s">
        <v>257</v>
      </c>
      <c r="I9" s="18" t="s">
        <v>258</v>
      </c>
      <c r="J9" s="18" t="s">
        <v>259</v>
      </c>
      <c r="K9" s="18" t="s">
        <v>260</v>
      </c>
      <c r="L9" s="18" t="s">
        <v>255</v>
      </c>
      <c r="M9" s="18" t="s">
        <v>292</v>
      </c>
    </row>
    <row r="10" spans="1:13">
      <c r="A10" s="18" t="s">
        <v>261</v>
      </c>
      <c r="B10" s="18" t="s">
        <v>293</v>
      </c>
      <c r="C10" s="18" t="s">
        <v>294</v>
      </c>
      <c r="D10" s="18" t="s">
        <v>255</v>
      </c>
      <c r="E10" s="18" t="s">
        <v>255</v>
      </c>
      <c r="F10" s="18"/>
      <c r="G10" s="18"/>
      <c r="H10" s="18"/>
      <c r="I10" s="18"/>
      <c r="J10" s="18" t="s">
        <v>255</v>
      </c>
      <c r="K10" s="18" t="s">
        <v>255</v>
      </c>
      <c r="L10" s="18" t="s">
        <v>255</v>
      </c>
      <c r="M10" s="18" t="s">
        <v>295</v>
      </c>
    </row>
    <row r="11" spans="1:13">
      <c r="A11" s="18" t="s">
        <v>261</v>
      </c>
      <c r="B11" s="18" t="s">
        <v>76</v>
      </c>
      <c r="C11" s="18" t="s">
        <v>294</v>
      </c>
      <c r="D11" s="18" t="s">
        <v>255</v>
      </c>
      <c r="E11" s="18" t="s">
        <v>255</v>
      </c>
      <c r="F11" s="18"/>
      <c r="G11" s="18"/>
      <c r="H11" s="18"/>
      <c r="I11" s="18"/>
      <c r="J11" s="18" t="s">
        <v>255</v>
      </c>
      <c r="K11" s="18" t="s">
        <v>255</v>
      </c>
      <c r="L11" s="18" t="s">
        <v>255</v>
      </c>
      <c r="M11" s="18" t="s">
        <v>296</v>
      </c>
    </row>
    <row r="12" spans="1:13">
      <c r="A12" s="18" t="s">
        <v>261</v>
      </c>
      <c r="B12" s="18" t="s">
        <v>297</v>
      </c>
      <c r="C12" s="18" t="s">
        <v>294</v>
      </c>
      <c r="D12" s="18" t="s">
        <v>255</v>
      </c>
      <c r="E12" s="18" t="s">
        <v>255</v>
      </c>
      <c r="F12" s="18"/>
      <c r="G12" s="18"/>
      <c r="H12" s="18"/>
      <c r="I12" s="18"/>
      <c r="J12" s="18" t="s">
        <v>255</v>
      </c>
      <c r="K12" s="18" t="s">
        <v>255</v>
      </c>
      <c r="L12" s="18" t="s">
        <v>255</v>
      </c>
      <c r="M12" s="18" t="s">
        <v>298</v>
      </c>
    </row>
    <row r="13" spans="1:13">
      <c r="A13" s="18" t="s">
        <v>231</v>
      </c>
      <c r="B13" s="18" t="s">
        <v>299</v>
      </c>
      <c r="C13" s="18" t="s">
        <v>300</v>
      </c>
      <c r="D13" s="18" t="s">
        <v>301</v>
      </c>
      <c r="E13" s="18" t="s">
        <v>255</v>
      </c>
      <c r="F13" s="18"/>
      <c r="G13" s="18"/>
      <c r="H13" s="18"/>
      <c r="I13" s="18"/>
      <c r="J13" s="18" t="s">
        <v>302</v>
      </c>
      <c r="K13" s="18" t="s">
        <v>255</v>
      </c>
      <c r="L13" s="18" t="s">
        <v>255</v>
      </c>
      <c r="M13" s="18" t="s">
        <v>303</v>
      </c>
    </row>
    <row r="14" spans="1:13">
      <c r="A14" s="18" t="s">
        <v>231</v>
      </c>
      <c r="B14" s="18" t="s">
        <v>232</v>
      </c>
      <c r="C14" s="18" t="s">
        <v>304</v>
      </c>
      <c r="D14" s="18" t="s">
        <v>305</v>
      </c>
      <c r="E14" s="18" t="s">
        <v>255</v>
      </c>
      <c r="F14" s="18"/>
      <c r="G14" s="18"/>
      <c r="H14" s="18"/>
      <c r="I14" s="18"/>
      <c r="J14" s="18" t="s">
        <v>306</v>
      </c>
      <c r="K14" s="18" t="s">
        <v>255</v>
      </c>
      <c r="L14" s="18" t="s">
        <v>255</v>
      </c>
      <c r="M14" s="18" t="s">
        <v>307</v>
      </c>
    </row>
    <row r="15" spans="1:13">
      <c r="A15" s="18" t="s">
        <v>308</v>
      </c>
      <c r="B15" s="18" t="s">
        <v>309</v>
      </c>
      <c r="C15" s="18" t="s">
        <v>61</v>
      </c>
      <c r="D15" s="18" t="s">
        <v>255</v>
      </c>
      <c r="E15" s="18" t="s">
        <v>255</v>
      </c>
      <c r="F15" s="18"/>
      <c r="G15" s="18"/>
      <c r="H15" s="18"/>
      <c r="I15" s="18"/>
      <c r="J15" s="18" t="s">
        <v>310</v>
      </c>
      <c r="K15" s="18" t="s">
        <v>311</v>
      </c>
      <c r="L15" s="18" t="s">
        <v>255</v>
      </c>
      <c r="M15" s="18" t="s">
        <v>312</v>
      </c>
    </row>
    <row r="16" spans="1:13">
      <c r="A16" s="18" t="s">
        <v>308</v>
      </c>
      <c r="B16" s="18" t="s">
        <v>313</v>
      </c>
      <c r="C16" s="18" t="s">
        <v>61</v>
      </c>
      <c r="D16" s="18" t="s">
        <v>255</v>
      </c>
      <c r="E16" s="18" t="s">
        <v>255</v>
      </c>
      <c r="F16" s="18"/>
      <c r="G16" s="18"/>
      <c r="H16" s="18"/>
      <c r="I16" s="18"/>
      <c r="J16" s="18" t="s">
        <v>314</v>
      </c>
      <c r="K16" s="18" t="s">
        <v>315</v>
      </c>
      <c r="L16" s="18" t="s">
        <v>255</v>
      </c>
      <c r="M16" s="18" t="s">
        <v>316</v>
      </c>
    </row>
    <row r="17" spans="1:13">
      <c r="A17" s="18" t="s">
        <v>308</v>
      </c>
      <c r="B17" s="18" t="s">
        <v>237</v>
      </c>
      <c r="C17" s="18" t="s">
        <v>275</v>
      </c>
      <c r="D17" s="18" t="s">
        <v>255</v>
      </c>
      <c r="E17" s="18" t="s">
        <v>255</v>
      </c>
      <c r="F17" s="18"/>
      <c r="G17" s="18"/>
      <c r="H17" s="18"/>
      <c r="I17" s="18"/>
      <c r="J17" s="18" t="s">
        <v>317</v>
      </c>
      <c r="K17" s="18" t="s">
        <v>318</v>
      </c>
      <c r="L17" s="18" t="s">
        <v>255</v>
      </c>
      <c r="M17" s="18" t="s">
        <v>319</v>
      </c>
    </row>
    <row r="18" spans="1:13">
      <c r="A18" s="18" t="s">
        <v>308</v>
      </c>
      <c r="B18" s="18" t="s">
        <v>236</v>
      </c>
      <c r="C18" s="18" t="s">
        <v>275</v>
      </c>
      <c r="D18" s="18" t="s">
        <v>320</v>
      </c>
      <c r="E18" s="18" t="s">
        <v>255</v>
      </c>
      <c r="F18" s="18" t="s">
        <v>321</v>
      </c>
      <c r="G18" s="18" t="s">
        <v>255</v>
      </c>
      <c r="H18" s="18" t="s">
        <v>255</v>
      </c>
      <c r="I18" s="18" t="s">
        <v>255</v>
      </c>
      <c r="J18" s="18" t="s">
        <v>255</v>
      </c>
      <c r="K18" s="18" t="s">
        <v>255</v>
      </c>
      <c r="L18" s="18" t="s">
        <v>255</v>
      </c>
      <c r="M18" s="18" t="s">
        <v>322</v>
      </c>
    </row>
    <row r="19" spans="1:13">
      <c r="A19" s="18" t="s">
        <v>73</v>
      </c>
      <c r="B19" s="18">
        <v>659452</v>
      </c>
      <c r="C19" s="18" t="s">
        <v>226</v>
      </c>
      <c r="D19" s="18" t="s">
        <v>227</v>
      </c>
      <c r="E19" s="18" t="s">
        <v>39</v>
      </c>
      <c r="F19" s="18"/>
      <c r="G19" s="18" t="s">
        <v>250</v>
      </c>
      <c r="H19" s="18" t="s">
        <v>323</v>
      </c>
      <c r="I19" s="18" t="s">
        <v>324</v>
      </c>
      <c r="J19" s="18" t="s">
        <v>325</v>
      </c>
      <c r="K19" s="18" t="s">
        <v>326</v>
      </c>
      <c r="L19" s="18" t="s">
        <v>255</v>
      </c>
      <c r="M19" s="19">
        <v>46244.862708333327</v>
      </c>
    </row>
    <row r="20" spans="1:13">
      <c r="A20" s="18" t="s">
        <v>73</v>
      </c>
      <c r="B20" s="18">
        <v>803200</v>
      </c>
      <c r="C20" s="18" t="s">
        <v>282</v>
      </c>
      <c r="D20" s="18" t="s">
        <v>283</v>
      </c>
      <c r="E20" s="18" t="s">
        <v>327</v>
      </c>
      <c r="F20" s="18" t="s">
        <v>255</v>
      </c>
      <c r="G20" s="18" t="s">
        <v>255</v>
      </c>
      <c r="H20" s="18" t="s">
        <v>255</v>
      </c>
      <c r="I20" s="18" t="s">
        <v>328</v>
      </c>
      <c r="J20" s="18" t="s">
        <v>284</v>
      </c>
      <c r="K20" s="18" t="s">
        <v>285</v>
      </c>
      <c r="L20" s="18" t="s">
        <v>329</v>
      </c>
      <c r="M20" s="18" t="s">
        <v>330</v>
      </c>
    </row>
    <row r="21" spans="1:13">
      <c r="A21" s="18">
        <v>1</v>
      </c>
      <c r="B21" s="18">
        <v>1</v>
      </c>
      <c r="C21" t="s">
        <v>37</v>
      </c>
      <c r="D21" s="18" t="s">
        <v>249</v>
      </c>
      <c r="J21" s="18" t="s">
        <v>249</v>
      </c>
    </row>
    <row r="22" spans="1:13">
      <c r="A22" s="18">
        <v>1</v>
      </c>
      <c r="B22" s="18">
        <v>1</v>
      </c>
      <c r="C22" t="s">
        <v>37</v>
      </c>
      <c r="D22" s="18" t="s">
        <v>249</v>
      </c>
      <c r="J22" s="18" t="s">
        <v>249</v>
      </c>
    </row>
    <row r="23" spans="1:13">
      <c r="A23" s="18" t="s">
        <v>73</v>
      </c>
      <c r="B23" s="18">
        <v>659452</v>
      </c>
      <c r="C23" t="s">
        <v>226</v>
      </c>
      <c r="D23" s="18" t="s">
        <v>227</v>
      </c>
      <c r="E23" s="18" t="s">
        <v>255</v>
      </c>
      <c r="F23" s="18" t="s">
        <v>321</v>
      </c>
      <c r="G23" t="s">
        <v>250</v>
      </c>
      <c r="H23" t="s">
        <v>323</v>
      </c>
      <c r="I23" t="s">
        <v>331</v>
      </c>
      <c r="J23" s="18" t="s">
        <v>332</v>
      </c>
      <c r="K23" s="18" t="s">
        <v>326</v>
      </c>
      <c r="L23" s="18" t="s">
        <v>335</v>
      </c>
      <c r="M23" s="17">
        <v>46244.925266203703</v>
      </c>
    </row>
    <row r="24" spans="1:13">
      <c r="A24" s="18" t="s">
        <v>220</v>
      </c>
      <c r="B24" s="18">
        <v>402788</v>
      </c>
      <c r="C24" t="s">
        <v>229</v>
      </c>
      <c r="D24" s="18" t="s">
        <v>230</v>
      </c>
      <c r="E24" s="18" t="s">
        <v>24</v>
      </c>
      <c r="F24" s="18" t="s">
        <v>321</v>
      </c>
      <c r="G24" t="s">
        <v>250</v>
      </c>
      <c r="H24" t="s">
        <v>251</v>
      </c>
      <c r="I24" t="s">
        <v>333</v>
      </c>
      <c r="J24" s="18" t="s">
        <v>334</v>
      </c>
      <c r="K24" s="18" t="s">
        <v>336</v>
      </c>
      <c r="L24" s="18" t="s">
        <v>337</v>
      </c>
      <c r="M24" s="17">
        <v>46244.925613425927</v>
      </c>
    </row>
    <row r="25" spans="1:13">
      <c r="A25" t="s">
        <v>359</v>
      </c>
      <c r="B25" t="s">
        <v>46</v>
      </c>
      <c r="C25" s="14" t="s">
        <v>43</v>
      </c>
      <c r="D25" t="s">
        <v>249</v>
      </c>
      <c r="J25" t="s">
        <v>249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0" t="s">
        <v>338</v>
      </c>
      <c r="B1" s="21"/>
      <c r="C1" s="21"/>
      <c r="D1" s="21"/>
      <c r="E1" s="21"/>
      <c r="F1" s="21"/>
      <c r="G1" s="21"/>
    </row>
    <row r="3" spans="1:7">
      <c r="A3" s="11" t="s">
        <v>339</v>
      </c>
    </row>
    <row r="4" spans="1:7">
      <c r="A4" s="18" t="s">
        <v>340</v>
      </c>
    </row>
    <row r="5" spans="1:7">
      <c r="A5" s="18" t="s">
        <v>341</v>
      </c>
    </row>
    <row r="6" spans="1:7">
      <c r="A6" s="18" t="s">
        <v>342</v>
      </c>
    </row>
    <row r="7" spans="1:7">
      <c r="A7" s="18" t="s">
        <v>343</v>
      </c>
    </row>
    <row r="9" spans="1:7">
      <c r="A9" s="11" t="s">
        <v>344</v>
      </c>
    </row>
    <row r="10" spans="1:7">
      <c r="A10" s="18" t="s">
        <v>345</v>
      </c>
    </row>
    <row r="11" spans="1:7">
      <c r="A11" s="18" t="s">
        <v>346</v>
      </c>
    </row>
    <row r="12" spans="1:7">
      <c r="A12" s="18" t="s">
        <v>347</v>
      </c>
    </row>
    <row r="13" spans="1:7">
      <c r="A13" s="18" t="s">
        <v>348</v>
      </c>
    </row>
    <row r="14" spans="1:7">
      <c r="A14" s="12" t="s">
        <v>349</v>
      </c>
    </row>
    <row r="15" spans="1:7">
      <c r="A15" s="12" t="s">
        <v>350</v>
      </c>
    </row>
    <row r="16" spans="1:7">
      <c r="A16" s="12" t="s">
        <v>351</v>
      </c>
    </row>
    <row r="17" spans="1:1">
      <c r="A17" s="12" t="s">
        <v>352</v>
      </c>
    </row>
    <row r="18" spans="1:1">
      <c r="A18" s="12" t="s">
        <v>353</v>
      </c>
    </row>
    <row r="20" spans="1:1">
      <c r="A20" s="11" t="s">
        <v>354</v>
      </c>
    </row>
    <row r="21" spans="1:1">
      <c r="A21" s="18" t="s">
        <v>355</v>
      </c>
    </row>
    <row r="22" spans="1:1">
      <c r="A22" s="18" t="s">
        <v>356</v>
      </c>
    </row>
    <row r="23" spans="1:1">
      <c r="A23" s="18" t="s">
        <v>357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2026-08-10T13:25:28Z</dcterms:modified>
</cp:coreProperties>
</file>