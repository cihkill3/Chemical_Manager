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19" i="3" l="1"/>
  <c r="U59" i="1"/>
  <c r="T59" i="1"/>
  <c r="S59" i="1"/>
  <c r="R59" i="1"/>
  <c r="Q59" i="1"/>
  <c r="P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Q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S45" i="1"/>
  <c r="P6" i="1"/>
  <c r="T3" i="1"/>
  <c r="T6" i="1"/>
  <c r="Q6" i="1"/>
  <c r="U6" i="1"/>
  <c r="S3" i="1"/>
  <c r="S2" i="1"/>
  <c r="D6" i="1"/>
  <c r="N6" i="1" s="1"/>
  <c r="R15" i="1"/>
  <c r="Q15" i="1"/>
  <c r="T15" i="1"/>
  <c r="P15" i="1"/>
  <c r="U15" i="1"/>
  <c r="G6" i="1"/>
  <c r="P3" i="1"/>
  <c r="U50" i="1"/>
  <c r="J45" i="1"/>
  <c r="T48" i="1"/>
  <c r="J44" i="1"/>
  <c r="P56" i="1"/>
  <c r="G9" i="1"/>
  <c r="P8" i="1"/>
  <c r="U48" i="1"/>
  <c r="S44" i="1"/>
  <c r="U46" i="1"/>
  <c r="P49" i="1"/>
  <c r="R51" i="1"/>
  <c r="T56" i="1"/>
  <c r="R3" i="1"/>
  <c r="S8" i="1"/>
  <c r="S15" i="1"/>
  <c r="T37" i="1"/>
  <c r="T44" i="1"/>
  <c r="D46" i="1"/>
  <c r="N46" i="1" s="1"/>
  <c r="Q49" i="1"/>
  <c r="S51" i="1"/>
  <c r="U56" i="1"/>
  <c r="J56" i="1"/>
  <c r="J6" i="1"/>
  <c r="T2" i="1"/>
  <c r="S48" i="1"/>
  <c r="P37" i="1"/>
  <c r="Q44" i="1"/>
  <c r="R44" i="1"/>
  <c r="P47" i="1"/>
  <c r="U8" i="1"/>
  <c r="D37" i="1"/>
  <c r="N37" i="1" s="1"/>
  <c r="D44" i="1"/>
  <c r="N44" i="1" s="1"/>
  <c r="U51" i="1"/>
  <c r="J20" i="1"/>
  <c r="U3" i="1"/>
  <c r="D15" i="1"/>
  <c r="N15" i="1" s="1"/>
  <c r="G37" i="1"/>
  <c r="P45" i="1"/>
  <c r="R47" i="1"/>
  <c r="T49" i="1"/>
  <c r="D51" i="1"/>
  <c r="N51" i="1" s="1"/>
  <c r="J53" i="1"/>
  <c r="J37" i="1"/>
  <c r="J3" i="1"/>
  <c r="D9" i="1"/>
  <c r="N9" i="1" s="1"/>
  <c r="S56" i="1"/>
  <c r="U44" i="1"/>
  <c r="Q47" i="1"/>
  <c r="S49" i="1"/>
  <c r="D8" i="1"/>
  <c r="N8" i="1" s="1"/>
  <c r="D3" i="1"/>
  <c r="N3" i="1" s="1"/>
  <c r="G8" i="1"/>
  <c r="P20" i="1"/>
  <c r="P43" i="1"/>
  <c r="Q45" i="1"/>
  <c r="S47" i="1"/>
  <c r="U49" i="1"/>
  <c r="P53" i="1"/>
  <c r="J2" i="1"/>
  <c r="Q46" i="1"/>
  <c r="U2" i="1"/>
  <c r="Q56" i="1"/>
  <c r="D2" i="1"/>
  <c r="N2" i="1" s="1"/>
  <c r="R56" i="1"/>
  <c r="J9" i="1"/>
  <c r="R37" i="1"/>
  <c r="D56" i="1"/>
  <c r="N56" i="1" s="1"/>
  <c r="R45" i="1"/>
  <c r="J51" i="1"/>
  <c r="U47" i="1"/>
  <c r="R6" i="1"/>
  <c r="S20" i="1"/>
  <c r="D47" i="1"/>
  <c r="N47" i="1" s="1"/>
  <c r="S53" i="1"/>
  <c r="J49" i="1"/>
  <c r="J15" i="1"/>
  <c r="R46" i="1"/>
  <c r="P51" i="1"/>
  <c r="J43" i="1"/>
  <c r="Q8" i="1"/>
  <c r="D48" i="1"/>
  <c r="N48" i="1" s="1"/>
  <c r="J8" i="1"/>
  <c r="R8" i="1"/>
  <c r="S37" i="1"/>
  <c r="U37" i="1"/>
  <c r="T51" i="1"/>
  <c r="Q43" i="1"/>
  <c r="Q53" i="1"/>
  <c r="R43" i="1"/>
  <c r="P50" i="1"/>
  <c r="J50" i="1"/>
  <c r="P2" i="1"/>
  <c r="R9" i="1"/>
  <c r="S43" i="1"/>
  <c r="T45" i="1"/>
  <c r="Q50" i="1"/>
  <c r="Q2" i="1"/>
  <c r="S6" i="1"/>
  <c r="S9" i="1"/>
  <c r="T20" i="1"/>
  <c r="T43" i="1"/>
  <c r="U45" i="1"/>
  <c r="P48" i="1"/>
  <c r="R50" i="1"/>
  <c r="T53" i="1"/>
  <c r="J48" i="1"/>
  <c r="G20" i="1"/>
  <c r="D50" i="1"/>
  <c r="N50" i="1" s="1"/>
  <c r="Q37" i="1"/>
  <c r="Q51" i="1"/>
  <c r="T8" i="1"/>
  <c r="P9" i="1"/>
  <c r="T47" i="1"/>
  <c r="R20" i="1"/>
  <c r="R53" i="1"/>
  <c r="R2" i="1"/>
  <c r="T9" i="1"/>
  <c r="U20" i="1"/>
  <c r="U43" i="1"/>
  <c r="D45" i="1"/>
  <c r="N45" i="1" s="1"/>
  <c r="Q48" i="1"/>
  <c r="S50" i="1"/>
  <c r="U53" i="1"/>
  <c r="J47" i="1"/>
  <c r="G43" i="1"/>
  <c r="P44" i="1"/>
  <c r="S46" i="1"/>
  <c r="T46" i="1"/>
  <c r="R49" i="1"/>
  <c r="Q20" i="1"/>
  <c r="D49" i="1"/>
  <c r="N49" i="1" s="1"/>
  <c r="Q9" i="1"/>
  <c r="U9" i="1"/>
  <c r="D20" i="1"/>
  <c r="N20" i="1" s="1"/>
  <c r="D43" i="1"/>
  <c r="N43" i="1" s="1"/>
  <c r="P46" i="1"/>
  <c r="R48" i="1"/>
  <c r="T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U19" i="1"/>
  <c r="T19" i="1"/>
  <c r="S19" i="1"/>
  <c r="R19" i="1"/>
  <c r="Q19" i="1"/>
  <c r="P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U14" i="1"/>
  <c r="T14" i="1"/>
  <c r="S14" i="1"/>
  <c r="R14" i="1"/>
  <c r="Q14" i="1"/>
  <c r="P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7" i="1"/>
  <c r="T7" i="1"/>
  <c r="S7" i="1"/>
  <c r="R7" i="1"/>
  <c r="Q7" i="1"/>
  <c r="P7" i="1"/>
  <c r="G7" i="1"/>
  <c r="D7" i="1"/>
  <c r="N7" i="1" s="1"/>
  <c r="U5" i="1"/>
  <c r="T5" i="1"/>
  <c r="S5" i="1"/>
  <c r="R5" i="1"/>
  <c r="Q5" i="1"/>
  <c r="P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<sst xmlns="http://schemas.openxmlformats.org/spreadsheetml/2006/main" count="656" uniqueCount="395">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</sst>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D8" sqref="D8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264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198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199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198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200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201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201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202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203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203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204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203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204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205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198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198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206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198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198</v>
      </c>
      <c r="F20" s="35" t="s">
        <v>70</v>
      </c>
      <c r="G20" s="35" t="str">
        <f>IF(OR(E20="", H20=""), "", IFERROR(VLOOKUP(E20&amp;"|"&amp;H20&amp;"", DB!$A:$N, 5, FALSE), ""))</f>
        <v>Search Failed</v>
      </c>
      <c r="H20" s="3" t="s">
        <v>207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Product Not Found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74</v>
      </c>
      <c r="B21" s="3" t="s">
        <v>75</v>
      </c>
      <c r="C21" s="35" t="s">
        <v>76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77</v>
      </c>
    </row>
    <row r="22" spans="1:22">
      <c r="A22" s="35"/>
      <c r="B22" s="3"/>
      <c r="C22" s="35" t="s">
        <v>78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79</v>
      </c>
    </row>
    <row r="23" spans="1:22">
      <c r="A23" s="35" t="s">
        <v>80</v>
      </c>
      <c r="B23" s="3" t="s">
        <v>81</v>
      </c>
      <c r="C23" s="35" t="s">
        <v>78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79</v>
      </c>
    </row>
    <row r="24" spans="1:22">
      <c r="A24" s="35" t="s">
        <v>82</v>
      </c>
      <c r="B24" s="3" t="s">
        <v>83</v>
      </c>
      <c r="C24" s="35" t="s">
        <v>84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85</v>
      </c>
    </row>
    <row r="25" spans="1:22">
      <c r="A25" s="35"/>
      <c r="B25" s="3"/>
      <c r="C25" s="35" t="s">
        <v>78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86</v>
      </c>
    </row>
    <row r="26" spans="1:22">
      <c r="A26" s="35" t="s">
        <v>87</v>
      </c>
      <c r="B26" s="3" t="s">
        <v>88</v>
      </c>
      <c r="C26" s="35" t="s">
        <v>78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86</v>
      </c>
    </row>
    <row r="27" spans="1:22">
      <c r="A27" s="35" t="s">
        <v>89</v>
      </c>
      <c r="B27" s="3" t="s">
        <v>90</v>
      </c>
      <c r="C27" s="35" t="s">
        <v>78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91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92</v>
      </c>
    </row>
    <row r="29" spans="1:22">
      <c r="A29" s="35" t="s">
        <v>93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92</v>
      </c>
    </row>
    <row r="30" spans="1:22">
      <c r="A30" s="35"/>
      <c r="B30" s="3"/>
      <c r="C30" s="35" t="s">
        <v>78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94</v>
      </c>
    </row>
    <row r="31" spans="1:22">
      <c r="A31" s="35" t="s">
        <v>95</v>
      </c>
      <c r="B31" s="3" t="s">
        <v>96</v>
      </c>
      <c r="C31" s="35" t="s">
        <v>78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94</v>
      </c>
    </row>
    <row r="32" spans="1:22">
      <c r="A32" s="35"/>
      <c r="B32" s="3"/>
      <c r="C32" s="35" t="s">
        <v>97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98</v>
      </c>
    </row>
    <row r="33" spans="1:22">
      <c r="A33" s="35" t="s">
        <v>99</v>
      </c>
      <c r="B33" s="3" t="s">
        <v>81</v>
      </c>
      <c r="C33" s="35" t="s">
        <v>97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98</v>
      </c>
    </row>
    <row r="34" spans="1:22">
      <c r="A34" s="35"/>
      <c r="B34" s="3"/>
      <c r="C34" s="35" t="s">
        <v>100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101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102</v>
      </c>
    </row>
    <row r="35" spans="1:22">
      <c r="A35" s="35" t="s">
        <v>103</v>
      </c>
      <c r="B35" s="3" t="s">
        <v>104</v>
      </c>
      <c r="C35" s="35" t="s">
        <v>100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101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102</v>
      </c>
    </row>
    <row r="36" spans="1:22">
      <c r="A36" s="35" t="s">
        <v>105</v>
      </c>
      <c r="B36" s="3" t="s">
        <v>106</v>
      </c>
      <c r="C36" s="35" t="s">
        <v>84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107</v>
      </c>
    </row>
    <row r="37" spans="1:22">
      <c r="A37" s="35" t="s">
        <v>108</v>
      </c>
      <c r="B37" s="3" t="s">
        <v>109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bb</v>
      </c>
      <c r="E37" s="34" t="s">
        <v>198</v>
      </c>
      <c r="F37" s="35" t="s">
        <v>110</v>
      </c>
      <c r="G37" s="35" t="str">
        <f>IF(OR(E37="", H37=""), "", IFERROR(VLOOKUP(E37&amp;"|"&amp;H37&amp;"", DB!$A:$N, 5, FALSE), ""))</f>
        <v>Search Failed</v>
      </c>
      <c r="H37" s="3" t="s">
        <v>207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Product Not Found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111</v>
      </c>
    </row>
    <row r="38" spans="1:22">
      <c r="A38" s="35" t="s">
        <v>112</v>
      </c>
      <c r="B38" s="3" t="s">
        <v>75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113</v>
      </c>
    </row>
    <row r="39" spans="1:22">
      <c r="A39" s="35"/>
      <c r="B39" s="3"/>
      <c r="C39" s="35" t="s">
        <v>78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114</v>
      </c>
    </row>
    <row r="40" spans="1:22">
      <c r="A40" s="35" t="s">
        <v>115</v>
      </c>
      <c r="B40" s="3" t="s">
        <v>116</v>
      </c>
      <c r="C40" s="35" t="s">
        <v>78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114</v>
      </c>
    </row>
    <row r="41" spans="1:22">
      <c r="A41" s="35" t="s">
        <v>117</v>
      </c>
      <c r="B41" s="3" t="s">
        <v>118</v>
      </c>
      <c r="C41" s="35" t="s">
        <v>119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120</v>
      </c>
    </row>
    <row r="42" spans="1:22">
      <c r="A42" s="35"/>
      <c r="B42" s="3"/>
      <c r="C42" s="35" t="s">
        <v>84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198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121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122</v>
      </c>
      <c r="B43" s="3" t="s">
        <v>123</v>
      </c>
      <c r="C43" s="35" t="s">
        <v>84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198</v>
      </c>
      <c r="F43" s="35" t="s">
        <v>70</v>
      </c>
      <c r="G43" s="35" t="str">
        <f>IF(OR(E43="", H43=""), "", IFERROR(VLOOKUP(E43&amp;"|"&amp;H43&amp;"", DB!$A:$N, 5, FALSE), ""))</f>
        <v>Search Failed</v>
      </c>
      <c r="H43" s="3" t="s">
        <v>207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Product Not Found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124</v>
      </c>
      <c r="B44" s="3" t="s">
        <v>125</v>
      </c>
      <c r="C44" s="35" t="s">
        <v>126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198</v>
      </c>
      <c r="F44" s="35" t="s">
        <v>127</v>
      </c>
      <c r="G44" s="35" t="str">
        <f>IF(OR(E44="", H44=""), "", IFERROR(VLOOKUP(E44&amp;"|"&amp;H44&amp;"", DB!$A:$N, 5, FALSE), ""))</f>
        <v>34301-54-7</v>
      </c>
      <c r="H44" s="10" t="s">
        <v>208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128</v>
      </c>
    </row>
    <row r="45" spans="1:22">
      <c r="A45" s="35" t="s">
        <v>129</v>
      </c>
      <c r="B45" s="3" t="s">
        <v>130</v>
      </c>
      <c r="C45" s="35" t="s">
        <v>126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198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209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132</v>
      </c>
    </row>
    <row r="46" spans="1:22">
      <c r="A46" s="35" t="s">
        <v>133</v>
      </c>
      <c r="B46" s="3" t="s">
        <v>130</v>
      </c>
      <c r="C46" s="35" t="s">
        <v>126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198</v>
      </c>
      <c r="F46" s="35" t="s">
        <v>127</v>
      </c>
      <c r="G46" s="35" t="str">
        <f>IF(OR(E46="", H46=""), "", IFERROR(VLOOKUP(E46&amp;"|"&amp;H46&amp;"", DB!$A:$N, 5, FALSE), ""))</f>
        <v>118-75-2</v>
      </c>
      <c r="H46" s="10" t="s">
        <v>210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134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198</v>
      </c>
      <c r="F47" s="35"/>
      <c r="G47" s="35" t="str">
        <f>IF(OR(E47="", H47=""), "", IFERROR(VLOOKUP(E47&amp;"|"&amp;H47&amp;"", DB!$A:$N, 5, FALSE), ""))</f>
        <v>81069-02-5</v>
      </c>
      <c r="H47" s="10" t="s">
        <v>211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136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198</v>
      </c>
      <c r="F48" s="35"/>
      <c r="G48" s="35" t="str">
        <f>IF(OR(E48="", H48=""), "", IFERROR(VLOOKUP(E48&amp;"|"&amp;H48&amp;"", DB!$A:$N, 5, FALSE), ""))</f>
        <v>2051-76-5</v>
      </c>
      <c r="H48" s="3" t="s">
        <v>212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138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213</v>
      </c>
      <c r="F49" s="35"/>
      <c r="G49" s="35" t="str">
        <f>IF(OR(E49="", H49=""), "", IFERROR(VLOOKUP(E49&amp;"|"&amp;H49&amp;"", DB!$A:$N, 5, FALSE), ""))</f>
        <v>Search Failed</v>
      </c>
      <c r="H49" s="10" t="s">
        <v>214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U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V49" s="34" t="s">
        <v>141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213</v>
      </c>
      <c r="F50" s="35"/>
      <c r="G50" s="35">
        <f>IF(OR(E50="", H50=""), "", IFERROR(VLOOKUP(E50&amp;"|"&amp;H50&amp;"", DB!$A:$N, 5, FALSE), ""))</f>
        <v>0</v>
      </c>
      <c r="H50" s="10" t="s">
        <v>215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143</v>
      </c>
    </row>
    <row r="51" spans="1:22">
      <c r="A51" s="35" t="s">
        <v>144</v>
      </c>
      <c r="B51" s="3" t="s">
        <v>145</v>
      </c>
      <c r="C51" s="35" t="s">
        <v>126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216</v>
      </c>
      <c r="F51" s="35" t="s">
        <v>147</v>
      </c>
      <c r="G51" s="35" t="str">
        <f>IF(OR(E51="", H51=""), "", IFERROR(VLOOKUP(E51&amp;"|"&amp;H51&amp;"", DB!$A:$N, 5, FALSE), ""))</f>
        <v>530-62-1</v>
      </c>
      <c r="H51" s="3" t="s">
        <v>217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148</v>
      </c>
    </row>
    <row r="52" spans="1:22">
      <c r="A52" s="35"/>
      <c r="B52" s="3"/>
      <c r="C52" s="35"/>
      <c r="D52" s="34" t="s">
        <v>149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150</v>
      </c>
      <c r="B53" s="3" t="s">
        <v>151</v>
      </c>
      <c r="C53" s="35" t="s">
        <v>126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216</v>
      </c>
      <c r="F53" s="35" t="s">
        <v>147</v>
      </c>
      <c r="G53" s="35" t="str">
        <f>IF(OR(E53="", H53=""), "", IFERROR(VLOOKUP(E53&amp;"|"&amp;H53&amp;"", DB!$A:$N, 5, FALSE), ""))</f>
        <v>15486-96-1</v>
      </c>
      <c r="H53" s="3" t="s">
        <v>218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153</v>
      </c>
    </row>
    <row r="54" spans="1:22">
      <c r="A54" s="35" t="s">
        <v>196</v>
      </c>
      <c r="B54" s="3" t="s">
        <v>151</v>
      </c>
      <c r="C54" s="35" t="s">
        <v>35</v>
      </c>
      <c r="D54" s="34" t="s">
        <v>197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219</v>
      </c>
      <c r="B55" s="3" t="s">
        <v>220</v>
      </c>
      <c r="C55" s="35" t="s">
        <v>126</v>
      </c>
      <c r="D55" s="34" t="s">
        <v>221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265</v>
      </c>
      <c r="B56" s="3" t="s">
        <v>145</v>
      </c>
      <c r="C56" s="35" t="s">
        <v>126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216</v>
      </c>
      <c r="F56" s="35" t="s">
        <v>147</v>
      </c>
      <c r="G56" s="35" t="str">
        <f>IF(OR(E56="", H56=""), "", IFERROR(VLOOKUP(E56&amp;"|"&amp;H56&amp;"", DB!$A:$N, 5, FALSE), ""))</f>
        <v>1892-29-1</v>
      </c>
      <c r="H56" s="3" t="s">
        <v>253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266</v>
      </c>
    </row>
    <row r="57" spans="1:22">
      <c r="A57" s="35" t="s">
        <v>373</v>
      </c>
      <c r="B57" s="3" t="s">
        <v>374</v>
      </c>
      <c r="C57" s="35" t="s">
        <v>78</v>
      </c>
      <c r="D57" s="34" t="s">
        <v>375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376</v>
      </c>
      <c r="B58" s="3" t="s">
        <v>377</v>
      </c>
      <c r="C58" s="35" t="s">
        <v>84</v>
      </c>
      <c r="D58" s="34" t="s">
        <v>378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 t="s">
        <v>382</v>
      </c>
      <c r="B59" s="3" t="s">
        <v>40</v>
      </c>
      <c r="C59" s="35" t="s">
        <v>35</v>
      </c>
      <c r="D59" s="34" t="str">
        <f>IF(OR(E59="", H59=""), V59, IFERROR(IF(VLOOKUP(E59&amp;"|"&amp;H59&amp;"", DB!$A:$N, 4, FALSE)="", V59, VLOOKUP(E59&amp;"|"&amp;H59&amp;"", DB!$A:$N, 4, FALSE)), V59))</f>
        <v>Anti-MMP2 antibody [EPR1184] - recombinant (ab92536)</v>
      </c>
      <c r="E59" s="34" t="s">
        <v>383</v>
      </c>
      <c r="F59" s="35" t="s">
        <v>384</v>
      </c>
      <c r="G59" s="35" t="str">
        <f>IF(OR(E59="", H59=""), "", IFERROR(VLOOKUP(E59&amp;"|"&amp;H59&amp;"", DB!$A:$N, 5, FALSE), ""))</f>
        <v>N/A</v>
      </c>
      <c r="H59" s="3" t="s">
        <v>385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4" t="str">
        <f>IF(OR(E59="", H59=""), "", IFERROR(IF(VLOOKUP(E59&amp;"|"&amp;H59&amp;"", DB!$A:$N, 7, FALSE)="","-",VLOOKUP(E59&amp;"|"&amp;H59&amp;"", DB!$A:$N, 7, FALSE)), "-"))</f>
        <v>-</v>
      </c>
      <c r="Q59" s="34" t="str">
        <f>IF(OR(E59="", H59=""), "", IFERROR(IF(VLOOKUP(E59&amp;"|"&amp;H59&amp;"", DB!$A:$N, 8, FALSE)="","-",VLOOKUP(E59&amp;"|"&amp;H59&amp;"", DB!$A:$N, 8, FALSE)), "-"))</f>
        <v>-</v>
      </c>
      <c r="R59" s="34" t="str">
        <f>IF(OR(E59="", H59=""), "", IFERROR(IF(VLOOKUP(E59&amp;"|"&amp;H59&amp;"", DB!$A:$N, 9, FALSE)="","-",VLOOKUP(E59&amp;"|"&amp;H59&amp;"", DB!$A:$N, 9, FALSE)), "-"))</f>
        <v>-</v>
      </c>
      <c r="S59" s="34" t="str">
        <f>IF(OR(E59="", H59=""), "", IFERROR(IF(VLOOKUP(E59&amp;"|"&amp;H59&amp;"", DB!$A:$N, 10, FALSE)="","-",VLOOKUP(E59&amp;"|"&amp;H59&amp;"", DB!$A:$N, 10, FALSE)), "-"))</f>
        <v>-</v>
      </c>
      <c r="T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U59" s="34" t="str">
        <f>IF(OR(E59="", H59=""), "", IFERROR(IF(VLOOKUP(E59&amp;"|"&amp;H59&amp;"", DB!$A:$N, 12, FALSE)="","-",VLOOKUP(E59&amp;"|"&amp;H59&amp;"", DB!$A:$N, 12, FALSE)), "-"))</f>
        <v>-</v>
      </c>
      <c r="V59" s="34" t="s">
        <v>386</v>
      </c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G60:G20000">
    <cfRule type="expression" dxfId="97" priority="1" stopIfTrue="1">
      <formula>AND(OR(TRIM(G60)="", TRIM(G60)="-"), TRIM(D60)&lt;&gt;"")</formula>
    </cfRule>
  </conditionalFormatting>
  <conditionalFormatting sqref="H60:H20000">
    <cfRule type="expression" dxfId="96" priority="2" stopIfTrue="1">
      <formula>AND(OR(TRIM(H60)="", TRIM(H60)="-"), TRIM(D60)&lt;&gt;"")</formula>
    </cfRule>
  </conditionalFormatting>
  <conditionalFormatting sqref="I60:I20000">
    <cfRule type="expression" dxfId="95" priority="3" stopIfTrue="1">
      <formula>AND(OR(TRIM(I60)="", TRIM(I60)="-"), TRIM(D60)&lt;&gt;"")</formula>
    </cfRule>
  </conditionalFormatting>
  <conditionalFormatting sqref="J60:J20000">
    <cfRule type="expression" dxfId="94" priority="4" stopIfTrue="1">
      <formula>AND(OR(TRIM(J60)="", TRIM(J60)="-"), TRIM(D60)&lt;&gt;"")</formula>
    </cfRule>
  </conditionalFormatting>
  <conditionalFormatting sqref="K60:K20000">
    <cfRule type="expression" dxfId="93" priority="5" stopIfTrue="1">
      <formula>AND(OR(TRIM(K60)="", TRIM(K60)="-"), TRIM(D60)&lt;&gt;"")</formula>
    </cfRule>
  </conditionalFormatting>
  <conditionalFormatting sqref="A60:M20000 O60:V20000">
    <cfRule type="cellIs" dxfId="92" priority="6" stopIfTrue="1" operator="equal">
      <formula>"Search Failed"</formula>
    </cfRule>
    <cfRule type="cellIs" dxfId="91" priority="7" stopIfTrue="1" operator="equal">
      <formula>"Product Not Found"</formula>
    </cfRule>
    <cfRule type="cellIs" dxfId="90" priority="8" stopIfTrue="1" operator="equal">
      <formula>"Manual Input Required"</formula>
    </cfRule>
    <cfRule type="cellIs" dxfId="89" priority="9" stopIfTrue="1" operator="equal">
      <formula>"Manual Entry Required"</formula>
    </cfRule>
  </conditionalFormatting>
  <conditionalFormatting sqref="N60:N20000">
    <cfRule type="cellIs" dxfId="88" priority="10" stopIfTrue="1" operator="equal">
      <formula>"X"</formula>
    </cfRule>
  </conditionalFormatting>
  <conditionalFormatting sqref="G2:G59">
    <cfRule type="expression" dxfId="9" priority="11" stopIfTrue="1">
      <formula>AND(OR(TRIM(G2)="", TRIM(G2)="-"), TRIM(D2)&lt;&gt;"")</formula>
    </cfRule>
  </conditionalFormatting>
  <conditionalFormatting sqref="H2:H59">
    <cfRule type="expression" dxfId="8" priority="12" stopIfTrue="1">
      <formula>AND(OR(TRIM(H2)="", TRIM(H2)="-"), TRIM(D2)&lt;&gt;"")</formula>
    </cfRule>
  </conditionalFormatting>
  <conditionalFormatting sqref="I2:I59">
    <cfRule type="expression" dxfId="7" priority="13" stopIfTrue="1">
      <formula>AND(OR(TRIM(I2)="", TRIM(I2)="-"), TRIM(D2)&lt;&gt;"")</formula>
    </cfRule>
  </conditionalFormatting>
  <conditionalFormatting sqref="J2:J59">
    <cfRule type="expression" dxfId="6" priority="14" stopIfTrue="1">
      <formula>AND(OR(TRIM(J2)="", TRIM(J2)="-"), TRIM(D2)&lt;&gt;"")</formula>
    </cfRule>
  </conditionalFormatting>
  <conditionalFormatting sqref="K2:K59">
    <cfRule type="expression" dxfId="5" priority="15" stopIfTrue="1">
      <formula>AND(OR(TRIM(K2)="", TRIM(K2)="-"), TRIM(D2)&lt;&gt;"")</formula>
    </cfRule>
  </conditionalFormatting>
  <conditionalFormatting sqref="A2:M59 O2:V59">
    <cfRule type="cellIs" dxfId="4" priority="16" stopIfTrue="1" operator="equal">
      <formula>"Search Failed"</formula>
    </cfRule>
    <cfRule type="cellIs" dxfId="3" priority="17" stopIfTrue="1" operator="equal">
      <formula>"Product Not Found"</formula>
    </cfRule>
    <cfRule type="cellIs" dxfId="2" priority="18" stopIfTrue="1" operator="equal">
      <formula>"Manual Input Required"</formula>
    </cfRule>
    <cfRule type="cellIs" dxfId="1" priority="19" stopIfTrue="1" operator="equal">
      <formula>"Manual Entry Required"</formula>
    </cfRule>
  </conditionalFormatting>
  <conditionalFormatting sqref="N2:N59">
    <cfRule type="cellIs" dxfId="0" priority="20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I60:I20000 I2:I59</xm:sqref>
        </x14:dataValidation>
        <x14:dataValidation type="list" allowBlank="1" showInputMessage="1" showErrorMessage="1">
          <x14:formula1>
            <xm:f>index!$C$2:$C$5</xm:f>
          </x14:formula1>
          <xm:sqref>J60:J20000 J2:J59</xm:sqref>
        </x14:dataValidation>
        <x14:dataValidation type="list" allowBlank="1" showInputMessage="1" showErrorMessage="1">
          <x14:formula1>
            <xm:f>IF(COUNTIF(index!$H:$H, I60&amp;"_"&amp;J60)=0, index!$G$100, OFFSET(index!$G$1, MATCH(I60&amp;"_"&amp;J60, index!$H:$H, 0)-1, 0, COUNTIF(index!$H:$H, I60&amp;"_"&amp;J60), 1))</xm:f>
          </x14:formula1>
          <xm:sqref>K60:K20000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154</v>
      </c>
      <c r="B1" s="1"/>
      <c r="C1" s="2" t="s">
        <v>155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156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157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121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157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158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159</v>
      </c>
      <c r="N1" s="20" t="s">
        <v>160</v>
      </c>
    </row>
    <row r="2" spans="1:14">
      <c r="A2" s="35" t="str">
        <f t="shared" ref="A2:A17" si="0">B2&amp;"|"&amp;C2</f>
        <v>1|1</v>
      </c>
      <c r="B2" s="35" t="s">
        <v>41</v>
      </c>
      <c r="C2" s="3" t="s">
        <v>41</v>
      </c>
      <c r="D2" s="35" t="s">
        <v>38</v>
      </c>
      <c r="E2" s="35" t="s">
        <v>161</v>
      </c>
      <c r="F2" s="35" t="s">
        <v>162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162</v>
      </c>
      <c r="L2" s="34" t="s">
        <v>162</v>
      </c>
      <c r="M2" s="34" t="s">
        <v>162</v>
      </c>
      <c r="N2" s="37">
        <v>46243.25</v>
      </c>
    </row>
    <row r="3" spans="1:14">
      <c r="A3" s="35" t="str">
        <f t="shared" si="0"/>
        <v>Aa|1</v>
      </c>
      <c r="B3" s="35" t="s">
        <v>36</v>
      </c>
      <c r="C3" s="3" t="s">
        <v>41</v>
      </c>
      <c r="D3" s="35" t="s">
        <v>38</v>
      </c>
      <c r="E3" s="35" t="s">
        <v>161</v>
      </c>
      <c r="F3" s="35" t="s">
        <v>162</v>
      </c>
      <c r="G3" s="34" t="s">
        <v>162</v>
      </c>
      <c r="H3" s="34" t="s">
        <v>162</v>
      </c>
      <c r="I3" s="34" t="s">
        <v>162</v>
      </c>
      <c r="J3" s="34" t="s">
        <v>162</v>
      </c>
      <c r="K3" s="34" t="s">
        <v>162</v>
      </c>
      <c r="L3" s="34" t="s">
        <v>162</v>
      </c>
      <c r="M3" s="34" t="s">
        <v>162</v>
      </c>
      <c r="N3" s="37">
        <v>46243.25</v>
      </c>
    </row>
    <row r="4" spans="1:14">
      <c r="A4" s="35" t="str">
        <f t="shared" si="0"/>
        <v>Aldrich|440140</v>
      </c>
      <c r="B4" s="35" t="s">
        <v>222</v>
      </c>
      <c r="C4" s="3" t="s">
        <v>223</v>
      </c>
      <c r="D4" s="35" t="s">
        <v>224</v>
      </c>
      <c r="E4" s="35" t="s">
        <v>225</v>
      </c>
      <c r="F4" s="35" t="s">
        <v>226</v>
      </c>
      <c r="G4" s="34" t="s">
        <v>226</v>
      </c>
      <c r="H4" s="34" t="s">
        <v>227</v>
      </c>
      <c r="I4" s="34" t="s">
        <v>228</v>
      </c>
      <c r="J4" s="34" t="s">
        <v>229</v>
      </c>
      <c r="K4" s="34" t="s">
        <v>230</v>
      </c>
      <c r="L4" s="34" t="s">
        <v>231</v>
      </c>
      <c r="M4" s="34" t="s">
        <v>232</v>
      </c>
      <c r="N4" s="21">
        <v>46245.25</v>
      </c>
    </row>
    <row r="5" spans="1:14">
      <c r="A5" s="35" t="str">
        <f t="shared" si="0"/>
        <v>Aldrich|131377</v>
      </c>
      <c r="B5" s="35" t="s">
        <v>198</v>
      </c>
      <c r="C5" s="3" t="s">
        <v>206</v>
      </c>
      <c r="D5" s="35" t="s">
        <v>267</v>
      </c>
      <c r="E5" s="35" t="s">
        <v>268</v>
      </c>
      <c r="F5" s="35" t="s">
        <v>226</v>
      </c>
      <c r="G5" s="34" t="s">
        <v>226</v>
      </c>
      <c r="H5" s="34" t="s">
        <v>226</v>
      </c>
      <c r="I5" s="34" t="s">
        <v>269</v>
      </c>
      <c r="J5" s="34" t="s">
        <v>270</v>
      </c>
      <c r="K5" s="34" t="s">
        <v>271</v>
      </c>
      <c r="L5" s="34" t="s">
        <v>272</v>
      </c>
      <c r="M5" s="34" t="s">
        <v>273</v>
      </c>
      <c r="N5" s="21">
        <v>46246.25</v>
      </c>
    </row>
    <row r="6" spans="1:14">
      <c r="A6" s="35" t="str">
        <f t="shared" si="0"/>
        <v>Aldrich|659452</v>
      </c>
      <c r="B6" s="35" t="s">
        <v>198</v>
      </c>
      <c r="C6" s="3" t="s">
        <v>208</v>
      </c>
      <c r="D6" s="35" t="s">
        <v>233</v>
      </c>
      <c r="E6" s="35" t="s">
        <v>234</v>
      </c>
      <c r="F6" s="35" t="s">
        <v>235</v>
      </c>
      <c r="G6" s="34" t="s">
        <v>226</v>
      </c>
      <c r="H6" s="34" t="s">
        <v>236</v>
      </c>
      <c r="I6" s="34" t="s">
        <v>237</v>
      </c>
      <c r="J6" s="34" t="s">
        <v>238</v>
      </c>
      <c r="K6" s="34" t="s">
        <v>239</v>
      </c>
      <c r="L6" s="34" t="s">
        <v>240</v>
      </c>
      <c r="M6" s="34" t="s">
        <v>241</v>
      </c>
      <c r="N6" s="21">
        <v>46246.25</v>
      </c>
    </row>
    <row r="7" spans="1:14">
      <c r="A7" s="35" t="str">
        <f t="shared" si="0"/>
        <v>Aldrich|402788</v>
      </c>
      <c r="B7" s="35" t="s">
        <v>22</v>
      </c>
      <c r="C7" s="3" t="s">
        <v>131</v>
      </c>
      <c r="D7" s="35" t="s">
        <v>132</v>
      </c>
      <c r="E7" s="35" t="s">
        <v>166</v>
      </c>
      <c r="F7" s="35" t="s">
        <v>57</v>
      </c>
      <c r="G7" s="34" t="s">
        <v>162</v>
      </c>
      <c r="H7" s="34" t="s">
        <v>165</v>
      </c>
      <c r="I7" s="34" t="s">
        <v>167</v>
      </c>
      <c r="J7" s="34" t="s">
        <v>168</v>
      </c>
      <c r="K7" s="34" t="s">
        <v>169</v>
      </c>
      <c r="L7" s="34" t="s">
        <v>170</v>
      </c>
      <c r="M7" s="34" t="s">
        <v>171</v>
      </c>
      <c r="N7" s="37">
        <v>46243.25</v>
      </c>
    </row>
    <row r="8" spans="1:14">
      <c r="A8" s="35" t="str">
        <f t="shared" si="0"/>
        <v>Aldrich|909270-10G</v>
      </c>
      <c r="B8" s="35" t="s">
        <v>22</v>
      </c>
      <c r="C8" s="3" t="s">
        <v>137</v>
      </c>
      <c r="D8" s="35" t="s">
        <v>138</v>
      </c>
      <c r="E8" s="35" t="s">
        <v>172</v>
      </c>
      <c r="F8" s="35" t="s">
        <v>251</v>
      </c>
      <c r="G8" s="34" t="s">
        <v>162</v>
      </c>
      <c r="H8" s="34" t="s">
        <v>165</v>
      </c>
      <c r="I8" s="34" t="s">
        <v>173</v>
      </c>
      <c r="J8" s="34" t="s">
        <v>174</v>
      </c>
      <c r="K8" s="34" t="s">
        <v>175</v>
      </c>
      <c r="L8" s="34" t="s">
        <v>176</v>
      </c>
      <c r="M8" s="34" t="s">
        <v>177</v>
      </c>
      <c r="N8" s="37">
        <v>46243.25</v>
      </c>
    </row>
    <row r="9" spans="1:14">
      <c r="A9" s="35" t="str">
        <f t="shared" si="0"/>
        <v>Aldrich|803200</v>
      </c>
      <c r="B9" s="35" t="s">
        <v>22</v>
      </c>
      <c r="C9" s="3" t="s">
        <v>135</v>
      </c>
      <c r="D9" s="35" t="s">
        <v>136</v>
      </c>
      <c r="E9" s="35" t="s">
        <v>178</v>
      </c>
      <c r="F9" s="35" t="s">
        <v>57</v>
      </c>
      <c r="G9" s="34" t="s">
        <v>162</v>
      </c>
      <c r="H9" s="34" t="s">
        <v>162</v>
      </c>
      <c r="I9" s="34" t="s">
        <v>162</v>
      </c>
      <c r="J9" s="34" t="s">
        <v>162</v>
      </c>
      <c r="K9" s="34" t="s">
        <v>179</v>
      </c>
      <c r="L9" s="34" t="s">
        <v>180</v>
      </c>
      <c r="M9" s="34" t="s">
        <v>181</v>
      </c>
      <c r="N9" s="37">
        <v>46243.25</v>
      </c>
    </row>
    <row r="10" spans="1:14">
      <c r="A10" s="35" t="str">
        <f t="shared" si="0"/>
        <v>Aldrich|359238</v>
      </c>
      <c r="B10" s="35" t="s">
        <v>22</v>
      </c>
      <c r="C10" s="3" t="s">
        <v>24</v>
      </c>
      <c r="D10" s="35" t="s">
        <v>26</v>
      </c>
      <c r="E10" s="35" t="s">
        <v>182</v>
      </c>
      <c r="F10" s="35" t="s">
        <v>50</v>
      </c>
      <c r="G10" s="34" t="s">
        <v>162</v>
      </c>
      <c r="H10" s="34" t="s">
        <v>162</v>
      </c>
      <c r="I10" s="34" t="s">
        <v>162</v>
      </c>
      <c r="J10" s="34" t="s">
        <v>162</v>
      </c>
      <c r="K10" s="34" t="s">
        <v>183</v>
      </c>
      <c r="L10" s="34" t="s">
        <v>184</v>
      </c>
      <c r="M10" s="34" t="s">
        <v>185</v>
      </c>
      <c r="N10" s="37">
        <v>46244.25</v>
      </c>
    </row>
    <row r="11" spans="1:14">
      <c r="A11" s="35" t="str">
        <f t="shared" si="0"/>
        <v>Aldrich|8.02361</v>
      </c>
      <c r="B11" s="35" t="s">
        <v>274</v>
      </c>
      <c r="C11" s="3" t="s">
        <v>275</v>
      </c>
      <c r="D11" s="35" t="s">
        <v>276</v>
      </c>
      <c r="E11" s="35" t="s">
        <v>277</v>
      </c>
      <c r="F11" s="35" t="s">
        <v>278</v>
      </c>
      <c r="G11" s="34" t="s">
        <v>279</v>
      </c>
      <c r="H11" s="34" t="s">
        <v>280</v>
      </c>
      <c r="I11" s="34" t="s">
        <v>281</v>
      </c>
      <c r="J11" s="34" t="s">
        <v>282</v>
      </c>
      <c r="K11" s="34" t="s">
        <v>283</v>
      </c>
      <c r="L11" s="34" t="s">
        <v>284</v>
      </c>
      <c r="M11" s="34" t="s">
        <v>285</v>
      </c>
      <c r="N11" s="21">
        <v>46246.25</v>
      </c>
    </row>
    <row r="12" spans="1:14">
      <c r="A12" s="35" t="str">
        <f t="shared" si="0"/>
        <v>Fff|2w5w</v>
      </c>
      <c r="B12" s="35" t="s">
        <v>42</v>
      </c>
      <c r="C12" s="3" t="s">
        <v>48</v>
      </c>
      <c r="D12" s="35" t="s">
        <v>45</v>
      </c>
      <c r="E12" s="35" t="s">
        <v>161</v>
      </c>
      <c r="F12" s="35" t="s">
        <v>162</v>
      </c>
      <c r="G12" s="34" t="s">
        <v>162</v>
      </c>
      <c r="H12" s="34" t="s">
        <v>162</v>
      </c>
      <c r="I12" s="34" t="s">
        <v>162</v>
      </c>
      <c r="J12" s="34" t="s">
        <v>162</v>
      </c>
      <c r="K12" s="34" t="s">
        <v>162</v>
      </c>
      <c r="L12" s="34" t="s">
        <v>162</v>
      </c>
      <c r="M12" s="34" t="s">
        <v>162</v>
      </c>
      <c r="N12" s="37">
        <v>46243.25</v>
      </c>
    </row>
    <row r="13" spans="1:14">
      <c r="A13" s="35" t="str">
        <f t="shared" si="0"/>
        <v>TCI|c0119</v>
      </c>
      <c r="B13" s="35" t="s">
        <v>242</v>
      </c>
      <c r="C13" s="3" t="s">
        <v>243</v>
      </c>
      <c r="D13" s="35" t="s">
        <v>244</v>
      </c>
      <c r="E13" s="35" t="s">
        <v>245</v>
      </c>
      <c r="F13" s="35" t="s">
        <v>235</v>
      </c>
      <c r="G13" s="34" t="s">
        <v>247</v>
      </c>
      <c r="H13" s="34" t="s">
        <v>227</v>
      </c>
      <c r="I13" s="34" t="s">
        <v>228</v>
      </c>
      <c r="J13" s="34" t="s">
        <v>246</v>
      </c>
      <c r="K13" s="34" t="s">
        <v>248</v>
      </c>
      <c r="L13" s="34" t="s">
        <v>249</v>
      </c>
      <c r="M13" s="34" t="s">
        <v>250</v>
      </c>
      <c r="N13" s="21">
        <v>46245.25</v>
      </c>
    </row>
    <row r="14" spans="1:14">
      <c r="A14" s="35" t="str">
        <f t="shared" si="0"/>
        <v>TCI|B2065</v>
      </c>
      <c r="B14" s="35" t="s">
        <v>146</v>
      </c>
      <c r="C14" s="3" t="s">
        <v>152</v>
      </c>
      <c r="D14" s="35" t="s">
        <v>188</v>
      </c>
      <c r="E14" s="35" t="s">
        <v>189</v>
      </c>
      <c r="F14" s="35" t="s">
        <v>50</v>
      </c>
      <c r="G14" s="34" t="s">
        <v>186</v>
      </c>
      <c r="H14" s="34" t="s">
        <v>163</v>
      </c>
      <c r="I14" s="34" t="s">
        <v>164</v>
      </c>
      <c r="J14" s="34" t="s">
        <v>190</v>
      </c>
      <c r="K14" s="34" t="s">
        <v>191</v>
      </c>
      <c r="L14" s="34" t="s">
        <v>187</v>
      </c>
      <c r="M14" s="34" t="s">
        <v>192</v>
      </c>
      <c r="N14" s="37">
        <v>46244.25</v>
      </c>
    </row>
    <row r="15" spans="1:14">
      <c r="A15" s="35" t="str">
        <f t="shared" si="0"/>
        <v>TCI|b4263</v>
      </c>
      <c r="B15" s="35" t="s">
        <v>252</v>
      </c>
      <c r="C15" s="3" t="s">
        <v>253</v>
      </c>
      <c r="D15" s="35" t="s">
        <v>254</v>
      </c>
      <c r="E15" s="35" t="s">
        <v>255</v>
      </c>
      <c r="F15" s="35" t="s">
        <v>256</v>
      </c>
      <c r="G15" s="34" t="s">
        <v>260</v>
      </c>
      <c r="H15" s="34" t="s">
        <v>257</v>
      </c>
      <c r="I15" s="34" t="s">
        <v>258</v>
      </c>
      <c r="J15" s="34" t="s">
        <v>259</v>
      </c>
      <c r="K15" s="34" t="s">
        <v>261</v>
      </c>
      <c r="L15" s="34" t="s">
        <v>262</v>
      </c>
      <c r="M15" s="34" t="s">
        <v>263</v>
      </c>
      <c r="N15" s="21">
        <v>46245.25</v>
      </c>
    </row>
    <row r="16" spans="1:14">
      <c r="A16" s="35" t="str">
        <f t="shared" si="0"/>
        <v>ThermoFisher|704060F</v>
      </c>
      <c r="B16" s="35" t="s">
        <v>139</v>
      </c>
      <c r="C16" s="3" t="s">
        <v>142</v>
      </c>
      <c r="D16" s="35" t="s">
        <v>143</v>
      </c>
      <c r="E16" s="35"/>
      <c r="F16" s="35" t="s">
        <v>50</v>
      </c>
      <c r="G16" s="34" t="s">
        <v>162</v>
      </c>
      <c r="H16" s="34" t="s">
        <v>162</v>
      </c>
      <c r="I16" s="34" t="s">
        <v>162</v>
      </c>
      <c r="J16" s="34" t="s">
        <v>162</v>
      </c>
      <c r="K16" s="34" t="s">
        <v>193</v>
      </c>
      <c r="L16" s="34" t="s">
        <v>194</v>
      </c>
      <c r="M16" s="34" t="s">
        <v>162</v>
      </c>
      <c r="N16" s="37">
        <v>46244.25</v>
      </c>
    </row>
    <row r="17" spans="1:14" ht="409.5">
      <c r="A17" s="35" t="str">
        <f t="shared" si="0"/>
        <v>ThermoFisher|A10436</v>
      </c>
      <c r="B17" s="35" t="s">
        <v>139</v>
      </c>
      <c r="C17" s="3" t="s">
        <v>140</v>
      </c>
      <c r="D17" s="38" t="s">
        <v>390</v>
      </c>
      <c r="E17" s="35" t="s">
        <v>380</v>
      </c>
      <c r="F17" s="35" t="s">
        <v>391</v>
      </c>
      <c r="G17" s="34" t="s">
        <v>162</v>
      </c>
      <c r="H17" s="34" t="s">
        <v>162</v>
      </c>
      <c r="I17" s="34" t="s">
        <v>162</v>
      </c>
      <c r="J17" s="34" t="s">
        <v>162</v>
      </c>
      <c r="K17" s="34" t="s">
        <v>392</v>
      </c>
      <c r="L17" s="34" t="s">
        <v>393</v>
      </c>
      <c r="M17" s="34" t="s">
        <v>195</v>
      </c>
      <c r="N17" s="37">
        <v>46247.25</v>
      </c>
    </row>
    <row r="18" spans="1:14">
      <c r="A18" s="19" t="str">
        <f>B18&amp;"|"&amp;C18</f>
        <v>Aldrich|3we3</v>
      </c>
      <c r="B18" s="8" t="s">
        <v>22</v>
      </c>
      <c r="C18" s="8" t="s">
        <v>379</v>
      </c>
      <c r="D18" s="8" t="s">
        <v>71</v>
      </c>
      <c r="E18" s="8" t="s">
        <v>380</v>
      </c>
      <c r="F18" t="s">
        <v>162</v>
      </c>
      <c r="G18" s="8" t="s">
        <v>162</v>
      </c>
      <c r="H18" s="8" t="s">
        <v>162</v>
      </c>
      <c r="I18" s="8" t="s">
        <v>162</v>
      </c>
      <c r="J18" s="8" t="s">
        <v>162</v>
      </c>
      <c r="K18" s="8" t="s">
        <v>381</v>
      </c>
      <c r="L18" s="8" t="s">
        <v>162</v>
      </c>
      <c r="M18" s="8" t="s">
        <v>162</v>
      </c>
      <c r="N18" s="8" t="s">
        <v>162</v>
      </c>
    </row>
    <row r="19" spans="1:14">
      <c r="A19" s="19" t="str">
        <f>B19&amp;"|"&amp;C19</f>
        <v>Abcam|ab92536</v>
      </c>
      <c r="B19" s="8" t="s">
        <v>383</v>
      </c>
      <c r="C19" s="8" t="s">
        <v>385</v>
      </c>
      <c r="D19" s="8" t="s">
        <v>387</v>
      </c>
      <c r="E19" s="8" t="s">
        <v>388</v>
      </c>
      <c r="F19" t="s">
        <v>65</v>
      </c>
      <c r="G19" s="8" t="s">
        <v>162</v>
      </c>
      <c r="H19" s="8" t="s">
        <v>162</v>
      </c>
      <c r="I19" s="8" t="s">
        <v>162</v>
      </c>
      <c r="J19" s="8" t="s">
        <v>162</v>
      </c>
      <c r="K19" s="8" t="s">
        <v>389</v>
      </c>
      <c r="L19" s="8" t="s">
        <v>162</v>
      </c>
      <c r="M19" s="8" t="s">
        <v>394</v>
      </c>
      <c r="N19" s="36">
        <v>46247.625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5" t="s">
        <v>286</v>
      </c>
      <c r="B1" s="46"/>
      <c r="C1" s="46"/>
      <c r="D1" s="46"/>
    </row>
    <row r="2" spans="1:4" ht="21.95" customHeight="1">
      <c r="A2" s="46"/>
      <c r="B2" s="46"/>
      <c r="C2" s="46"/>
      <c r="D2" s="46"/>
    </row>
    <row r="4" spans="1:4" ht="27.95" customHeight="1">
      <c r="A4" s="42" t="s">
        <v>287</v>
      </c>
      <c r="B4" s="43"/>
      <c r="C4" s="43"/>
      <c r="D4" s="43"/>
    </row>
    <row r="5" spans="1:4" ht="20.100000000000001" customHeight="1">
      <c r="A5" s="47" t="s">
        <v>288</v>
      </c>
      <c r="B5" s="48"/>
      <c r="C5" s="48"/>
      <c r="D5" s="48"/>
    </row>
    <row r="7" spans="1:4" ht="24" customHeight="1">
      <c r="A7" s="49" t="s">
        <v>289</v>
      </c>
      <c r="B7" s="43"/>
      <c r="C7" s="43"/>
      <c r="D7" s="43"/>
    </row>
    <row r="8" spans="1:4" ht="24" customHeight="1">
      <c r="A8" s="22" t="s">
        <v>290</v>
      </c>
      <c r="B8" s="22" t="s">
        <v>291</v>
      </c>
      <c r="C8" s="22" t="s">
        <v>292</v>
      </c>
      <c r="D8" s="22" t="s">
        <v>293</v>
      </c>
    </row>
    <row r="9" spans="1:4" ht="21.95" customHeight="1">
      <c r="A9" s="23">
        <v>1</v>
      </c>
      <c r="B9" s="24" t="s">
        <v>294</v>
      </c>
      <c r="C9" s="31" t="s">
        <v>295</v>
      </c>
      <c r="D9" s="25" t="s">
        <v>296</v>
      </c>
    </row>
    <row r="10" spans="1:4" ht="21.95" customHeight="1">
      <c r="A10" s="26">
        <v>2</v>
      </c>
      <c r="B10" s="27" t="s">
        <v>297</v>
      </c>
      <c r="C10" s="33" t="s">
        <v>298</v>
      </c>
      <c r="D10" s="28">
        <v>46247</v>
      </c>
    </row>
    <row r="11" spans="1:4" ht="21.95" customHeight="1">
      <c r="A11" s="23">
        <v>3</v>
      </c>
      <c r="B11" s="24" t="s">
        <v>299</v>
      </c>
      <c r="C11" s="31" t="s">
        <v>300</v>
      </c>
      <c r="D11" s="25" t="s">
        <v>301</v>
      </c>
    </row>
    <row r="12" spans="1:4" ht="21.95" customHeight="1">
      <c r="A12" s="26">
        <v>4</v>
      </c>
      <c r="B12" s="27" t="s">
        <v>302</v>
      </c>
      <c r="C12" s="33" t="s">
        <v>303</v>
      </c>
      <c r="D12" s="29" t="s">
        <v>304</v>
      </c>
    </row>
    <row r="13" spans="1:4" ht="21.95" customHeight="1">
      <c r="A13" s="23">
        <v>5</v>
      </c>
      <c r="B13" s="24" t="s">
        <v>305</v>
      </c>
      <c r="C13" s="31" t="s">
        <v>306</v>
      </c>
      <c r="D13" s="25" t="s">
        <v>307</v>
      </c>
    </row>
    <row r="14" spans="1:4" ht="21.95" customHeight="1">
      <c r="A14" s="26">
        <v>6</v>
      </c>
      <c r="B14" s="27" t="s">
        <v>308</v>
      </c>
      <c r="C14" s="33" t="s">
        <v>309</v>
      </c>
      <c r="D14" s="29" t="s">
        <v>310</v>
      </c>
    </row>
    <row r="15" spans="1:4" ht="21.95" customHeight="1">
      <c r="A15" s="23">
        <v>7</v>
      </c>
      <c r="B15" s="24" t="s">
        <v>311</v>
      </c>
      <c r="C15" s="31" t="s">
        <v>312</v>
      </c>
      <c r="D15" s="25" t="s">
        <v>313</v>
      </c>
    </row>
    <row r="16" spans="1:4" ht="21.95" customHeight="1">
      <c r="A16" s="26">
        <v>8</v>
      </c>
      <c r="B16" s="27" t="s">
        <v>314</v>
      </c>
      <c r="C16" s="33" t="s">
        <v>315</v>
      </c>
      <c r="D16" s="29" t="s">
        <v>316</v>
      </c>
    </row>
    <row r="17" spans="1:4" ht="21.95" customHeight="1">
      <c r="A17" s="23">
        <v>9</v>
      </c>
      <c r="B17" s="24" t="s">
        <v>317</v>
      </c>
      <c r="C17" s="31" t="s">
        <v>318</v>
      </c>
      <c r="D17" s="25" t="s">
        <v>319</v>
      </c>
    </row>
    <row r="18" spans="1:4" ht="21.95" customHeight="1"/>
    <row r="19" spans="1:4" ht="24" customHeight="1">
      <c r="A19" s="49" t="s">
        <v>320</v>
      </c>
      <c r="B19" s="43"/>
      <c r="C19" s="43"/>
      <c r="D19" s="43"/>
    </row>
    <row r="20" spans="1:4" ht="24" customHeight="1">
      <c r="A20" s="39" t="s">
        <v>321</v>
      </c>
      <c r="B20" s="40"/>
      <c r="C20" s="40"/>
      <c r="D20" s="40"/>
    </row>
    <row r="21" spans="1:4" ht="24" customHeight="1">
      <c r="A21" s="39" t="s">
        <v>322</v>
      </c>
      <c r="B21" s="40"/>
      <c r="C21" s="40"/>
      <c r="D21" s="40"/>
    </row>
    <row r="22" spans="1:4" ht="24" customHeight="1"/>
    <row r="23" spans="1:4" ht="24" customHeight="1"/>
    <row r="24" spans="1:4" ht="27.95" customHeight="1">
      <c r="A24" s="42" t="s">
        <v>323</v>
      </c>
      <c r="B24" s="43"/>
      <c r="C24" s="43"/>
      <c r="D24" s="43"/>
    </row>
    <row r="25" spans="1:4" ht="24" customHeight="1">
      <c r="A25" s="49" t="s">
        <v>324</v>
      </c>
      <c r="B25" s="43"/>
      <c r="C25" s="43"/>
      <c r="D25" s="43"/>
    </row>
    <row r="26" spans="1:4" ht="24" customHeight="1">
      <c r="A26" s="22" t="s">
        <v>325</v>
      </c>
      <c r="B26" s="22" t="s">
        <v>326</v>
      </c>
      <c r="C26" s="22" t="s">
        <v>327</v>
      </c>
      <c r="D26" s="22" t="s">
        <v>328</v>
      </c>
    </row>
    <row r="27" spans="1:4" ht="21.95" customHeight="1">
      <c r="A27" s="23" t="s">
        <v>329</v>
      </c>
      <c r="B27" s="23" t="s">
        <v>330</v>
      </c>
      <c r="C27" s="31" t="s">
        <v>331</v>
      </c>
      <c r="D27" s="31" t="s">
        <v>332</v>
      </c>
    </row>
    <row r="28" spans="1:4" ht="21.95" customHeight="1">
      <c r="A28" s="26" t="s">
        <v>368</v>
      </c>
      <c r="B28" s="26" t="s">
        <v>369</v>
      </c>
      <c r="C28" s="33" t="s">
        <v>370</v>
      </c>
      <c r="D28" s="33" t="s">
        <v>371</v>
      </c>
    </row>
    <row r="29" spans="1:4" ht="21.95" customHeight="1">
      <c r="A29" s="23" t="s">
        <v>333</v>
      </c>
      <c r="B29" s="23" t="s">
        <v>334</v>
      </c>
      <c r="C29" s="31" t="s">
        <v>335</v>
      </c>
      <c r="D29" s="31" t="s">
        <v>336</v>
      </c>
    </row>
    <row r="30" spans="1:4" ht="21.95" customHeight="1">
      <c r="A30" s="26" t="s">
        <v>337</v>
      </c>
      <c r="B30" s="26" t="s">
        <v>338</v>
      </c>
      <c r="C30" s="33" t="s">
        <v>339</v>
      </c>
      <c r="D30" s="33" t="s">
        <v>340</v>
      </c>
    </row>
    <row r="31" spans="1:4" ht="21.95" customHeight="1"/>
    <row r="32" spans="1:4" ht="24" customHeight="1">
      <c r="A32" s="49" t="s">
        <v>341</v>
      </c>
      <c r="B32" s="43"/>
      <c r="C32" s="43"/>
      <c r="D32" s="43"/>
    </row>
    <row r="33" spans="1:4" ht="24" customHeight="1">
      <c r="A33" s="22" t="s">
        <v>291</v>
      </c>
      <c r="B33" s="22" t="s">
        <v>342</v>
      </c>
      <c r="C33" s="22" t="s">
        <v>343</v>
      </c>
      <c r="D33" s="22" t="s">
        <v>344</v>
      </c>
    </row>
    <row r="34" spans="1:4" ht="21.95" customHeight="1">
      <c r="A34" s="24" t="s">
        <v>345</v>
      </c>
      <c r="B34" s="23" t="s">
        <v>346</v>
      </c>
      <c r="C34" s="31" t="s">
        <v>347</v>
      </c>
      <c r="D34" s="25" t="s">
        <v>348</v>
      </c>
    </row>
    <row r="35" spans="1:4" ht="21.95" customHeight="1">
      <c r="A35" s="27" t="s">
        <v>349</v>
      </c>
      <c r="B35" s="26" t="s">
        <v>346</v>
      </c>
      <c r="C35" s="33" t="s">
        <v>350</v>
      </c>
      <c r="D35" s="29" t="s">
        <v>351</v>
      </c>
    </row>
    <row r="36" spans="1:4" ht="21.95" customHeight="1">
      <c r="A36" s="24" t="s">
        <v>352</v>
      </c>
      <c r="B36" s="23" t="s">
        <v>346</v>
      </c>
      <c r="C36" s="31" t="s">
        <v>372</v>
      </c>
      <c r="D36" s="25" t="s">
        <v>353</v>
      </c>
    </row>
    <row r="37" spans="1:4" ht="21.95" customHeight="1">
      <c r="A37" s="27" t="s">
        <v>354</v>
      </c>
      <c r="B37" s="26" t="s">
        <v>346</v>
      </c>
      <c r="C37" s="33" t="s">
        <v>355</v>
      </c>
      <c r="D37" s="29" t="s">
        <v>356</v>
      </c>
    </row>
    <row r="38" spans="1:4" ht="21.95" customHeight="1"/>
    <row r="39" spans="1:4" ht="24" customHeight="1">
      <c r="A39" s="49" t="s">
        <v>357</v>
      </c>
      <c r="B39" s="43"/>
      <c r="C39" s="43"/>
      <c r="D39" s="43"/>
    </row>
    <row r="40" spans="1:4" ht="26.1" customHeight="1">
      <c r="A40" s="39" t="s">
        <v>358</v>
      </c>
      <c r="B40" s="40"/>
      <c r="C40" s="40"/>
      <c r="D40" s="40"/>
    </row>
    <row r="41" spans="1:4" ht="26.1" customHeight="1">
      <c r="A41" s="39" t="s">
        <v>359</v>
      </c>
      <c r="B41" s="40"/>
      <c r="C41" s="40"/>
      <c r="D41" s="40"/>
    </row>
    <row r="42" spans="1:4" ht="26.1" customHeight="1">
      <c r="A42" s="39" t="s">
        <v>360</v>
      </c>
      <c r="B42" s="40"/>
      <c r="C42" s="40"/>
      <c r="D42" s="40"/>
    </row>
    <row r="43" spans="1:4" ht="26.1" customHeight="1"/>
    <row r="44" spans="1:4" ht="26.1" customHeight="1"/>
    <row r="45" spans="1:4" ht="27.95" customHeight="1">
      <c r="A45" s="42" t="s">
        <v>361</v>
      </c>
      <c r="B45" s="43"/>
      <c r="C45" s="43"/>
      <c r="D45" s="43"/>
    </row>
    <row r="46" spans="1:4" ht="21.95" customHeight="1">
      <c r="A46" s="30" t="s">
        <v>362</v>
      </c>
      <c r="B46" s="41" t="s">
        <v>363</v>
      </c>
      <c r="C46" s="40"/>
      <c r="D46" s="40"/>
    </row>
    <row r="47" spans="1:4" ht="21.95" customHeight="1">
      <c r="A47" s="32" t="s">
        <v>364</v>
      </c>
      <c r="B47" s="44" t="s">
        <v>365</v>
      </c>
      <c r="C47" s="40"/>
      <c r="D47" s="40"/>
    </row>
    <row r="48" spans="1:4" ht="21.95" customHeight="1">
      <c r="A48" s="30" t="s">
        <v>366</v>
      </c>
      <c r="B48" s="41" t="s">
        <v>367</v>
      </c>
      <c r="C48" s="40"/>
      <c r="D48" s="40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2026-08-14T07:10:52Z</dcterms:modified>
</cp:coreProperties>
</file>