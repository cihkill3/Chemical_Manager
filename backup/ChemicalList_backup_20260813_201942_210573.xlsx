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D56" i="1"/>
  <c r="U56" i="1"/>
  <c r="T56" i="1"/>
  <c r="S56" i="1"/>
  <c r="R56" i="1"/>
  <c r="Q56" i="1"/>
  <c r="P56" i="1"/>
  <c r="D53" i="1"/>
  <c r="U53" i="1"/>
  <c r="T53" i="1"/>
  <c r="S53" i="1"/>
  <c r="R53" i="1"/>
  <c r="Q53" i="1"/>
  <c r="P53" i="1"/>
  <c r="D51" i="1"/>
  <c r="U51" i="1"/>
  <c r="T51" i="1"/>
  <c r="S51" i="1"/>
  <c r="R51" i="1"/>
  <c r="Q51" i="1"/>
  <c r="P51" i="1"/>
  <c r="D50" i="1"/>
  <c r="U50" i="1"/>
  <c r="T50" i="1"/>
  <c r="S50" i="1"/>
  <c r="R50" i="1"/>
  <c r="Q50" i="1"/>
  <c r="P50" i="1"/>
  <c r="D49" i="1"/>
  <c r="U49" i="1"/>
  <c r="T49" i="1"/>
  <c r="S49" i="1"/>
  <c r="R49" i="1"/>
  <c r="Q49" i="1"/>
  <c r="P49" i="1"/>
  <c r="D48" i="1"/>
  <c r="U48" i="1"/>
  <c r="T48" i="1"/>
  <c r="S48" i="1"/>
  <c r="R48" i="1"/>
  <c r="Q48" i="1"/>
  <c r="P48" i="1"/>
  <c r="D47" i="1"/>
  <c r="U47" i="1"/>
  <c r="T47" i="1"/>
  <c r="S47" i="1"/>
  <c r="R47" i="1"/>
  <c r="Q47" i="1"/>
  <c r="P47" i="1"/>
  <c r="D46" i="1"/>
  <c r="U46" i="1"/>
  <c r="T46" i="1"/>
  <c r="S46" i="1"/>
  <c r="R46" i="1"/>
  <c r="Q46" i="1"/>
  <c r="P46" i="1"/>
  <c r="D45" i="1"/>
  <c r="U45" i="1"/>
  <c r="T45" i="1"/>
  <c r="S45" i="1"/>
  <c r="R45" i="1"/>
  <c r="Q45" i="1"/>
  <c r="P45" i="1"/>
  <c r="D44" i="1"/>
  <c r="U44" i="1"/>
  <c r="T44" i="1"/>
  <c r="S44" i="1"/>
  <c r="R44" i="1"/>
  <c r="Q44" i="1"/>
  <c r="P44" i="1"/>
  <c r="G43" i="1"/>
  <c r="D43" i="1"/>
  <c r="U43" i="1"/>
  <c r="T43" i="1"/>
  <c r="S43" i="1"/>
  <c r="R43" i="1"/>
  <c r="Q43" i="1"/>
  <c r="P43" i="1"/>
  <c r="G37" i="1"/>
  <c r="D37" i="1"/>
  <c r="U37" i="1"/>
  <c r="T37" i="1"/>
  <c r="S37" i="1"/>
  <c r="R37" i="1"/>
  <c r="Q37" i="1"/>
  <c r="P37" i="1"/>
  <c r="G20" i="1"/>
  <c r="D20" i="1"/>
  <c r="U20" i="1"/>
  <c r="T20" i="1"/>
  <c r="S20" i="1"/>
  <c r="R20" i="1"/>
  <c r="Q20" i="1"/>
  <c r="P20" i="1"/>
  <c r="D15" i="1"/>
  <c r="U15" i="1"/>
  <c r="T15" i="1"/>
  <c r="S15" i="1"/>
  <c r="R15" i="1"/>
  <c r="Q15" i="1"/>
  <c r="P15" i="1"/>
  <c r="G9" i="1"/>
  <c r="D9" i="1"/>
  <c r="U9" i="1"/>
  <c r="T9" i="1"/>
  <c r="S9" i="1"/>
  <c r="R9" i="1"/>
  <c r="Q9" i="1"/>
  <c r="P9" i="1"/>
  <c r="G8" i="1"/>
  <c r="D8" i="1"/>
  <c r="U8" i="1"/>
  <c r="T8" i="1"/>
  <c r="S8" i="1"/>
  <c r="R8" i="1"/>
  <c r="Q8" i="1"/>
  <c r="P8" i="1"/>
  <c r="G6" i="1"/>
  <c r="D6" i="1"/>
  <c r="U6" i="1"/>
  <c r="T6" i="1"/>
  <c r="S6" i="1"/>
  <c r="R6" i="1"/>
  <c r="Q6" i="1"/>
  <c r="P6" i="1"/>
  <c r="D3" i="1"/>
  <c r="U3" i="1"/>
  <c r="T3" i="1"/>
  <c r="S3" i="1"/>
  <c r="R3" i="1"/>
  <c r="Q3" i="1"/>
  <c r="P3" i="1"/>
  <c r="D2" i="1"/>
  <c r="U2" i="1"/>
  <c r="T2" i="1"/>
  <c r="S2" i="1"/>
  <c r="R2" i="1"/>
  <c r="Q2" i="1"/>
  <c r="P2" i="1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G56" i="1" l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G41" i="1"/>
  <c r="D41" i="1"/>
  <c r="G40" i="1"/>
  <c r="D40" i="1"/>
  <c r="G39" i="1"/>
  <c r="D39" i="1"/>
  <c r="G38" i="1"/>
  <c r="D38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U19" i="1"/>
  <c r="T19" i="1"/>
  <c r="S19" i="1"/>
  <c r="R19" i="1"/>
  <c r="Q19" i="1"/>
  <c r="P19" i="1"/>
  <c r="G19" i="1"/>
  <c r="D19" i="1"/>
  <c r="G18" i="1"/>
  <c r="D18" i="1"/>
  <c r="G17" i="1"/>
  <c r="D17" i="1"/>
  <c r="G16" i="1"/>
  <c r="D16" i="1"/>
  <c r="G15" i="1"/>
  <c r="U14" i="1"/>
  <c r="T14" i="1"/>
  <c r="S14" i="1"/>
  <c r="R14" i="1"/>
  <c r="Q14" i="1"/>
  <c r="P14" i="1"/>
  <c r="G14" i="1"/>
  <c r="D14" i="1"/>
  <c r="G13" i="1"/>
  <c r="D13" i="1"/>
  <c r="G12" i="1"/>
  <c r="D12" i="1"/>
  <c r="G11" i="1"/>
  <c r="D11" i="1"/>
  <c r="G10" i="1"/>
  <c r="D10" i="1"/>
  <c r="U7" i="1"/>
  <c r="T7" i="1"/>
  <c r="S7" i="1"/>
  <c r="R7" i="1"/>
  <c r="Q7" i="1"/>
  <c r="P7" i="1"/>
  <c r="G7" i="1"/>
  <c r="D7" i="1"/>
  <c r="U5" i="1"/>
  <c r="T5" i="1"/>
  <c r="S5" i="1"/>
  <c r="R5" i="1"/>
  <c r="Q5" i="1"/>
  <c r="P5" i="1"/>
  <c r="G5" i="1"/>
  <c r="D5" i="1"/>
  <c r="G4" i="1"/>
  <c r="D4" i="1"/>
  <c r="G3" i="1"/>
  <c r="G2" i="1"/>
</calcChain>
</file>

<file path=xl/sharedStrings.xml><?xml version="1.0" encoding="utf-8"?>
<sst xmlns="http://schemas.openxmlformats.org/spreadsheetml/2006/main" count="641" uniqueCount="382">
  <si>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</si>
  <si>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</si>
  <si>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</si>
  <si>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</si>
  <si>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</si>
  <si>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</si>
  <si>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</si>
  <si>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</si>
  <si>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</si>
  <si>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</si>
  <si>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</si>
  <si>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</si>
  <si>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</si>
  <si>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</si>
  <si>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</si>
  <si>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</si>
  <si>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</si>
  <si>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</si>
  <si>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</si>
  <si>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</si>
  <si>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</si>
  <si>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</si>
  <si>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</si>
  <si>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</si>
  <si>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</si>
  <si>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</si>
  <si>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</si>
  <si>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</si>
  <si>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</si>
  <si>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</si>
  <si>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</si>
  <si>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</si>
  <si>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</si>
  <si>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</si>
  <si>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</si>
  <si>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</si>
  <si>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</si>
  <si>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</si>
  <si>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</si>
  <si>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</si>
  <si>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</si>
  <si>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</si>
  <si>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</si>
  <si>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</si>
  <si>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</si>
  <si>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</si>
  <si>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</si>
  <si>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</si>
  <si>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</si>
  <si>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</si>
  <si>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</si>
  <si>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</si>
  <si>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</si>
  <si>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</si>
  <si>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</si>
  <si>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</si>
  <si>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</si>
  <si>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</si>
  <si>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</si>
  <si>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</si>
  <si>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</si>
  <si>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</si>
  <si>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</si>
  <si>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</si>
  <si>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</si>
  <si>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</si>
  <si>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</si>
  <si>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</si>
  <si>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</si>
  <si>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</si>
  <si>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</si>
  <si>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</si>
  <si>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</si>
  <si>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</si>
  <si>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3we3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</si>
  <si>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</si>
  <si>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</si>
  <si>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</si>
  <si>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</si>
  <si>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</si>
  <si>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</si>
  <si>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</si>
  <si>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</si>
  <si>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</si>
  <si>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</si>
  <si>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</si>
  <si>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</si>
  <si>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</si>
  <si>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</si>
  <si>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</si>
  <si>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</si>
  <si>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</si>
  <si>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</si>
  <si>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</si>
  <si>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</si>
  <si>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</si>
  <si>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</si>
  <si>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</si>
  <si>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</si>
  <si>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</si>
  <si>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</si>
  <si>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</si>
  <si>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</si>
  <si>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</si>
  <si>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</si>
  <si>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</si>
  <si>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</si>
  <si>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</si>
  <si>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</si>
  <si>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</si>
  <si>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</si>
  <si>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</si>
  <si>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</si>
  <si>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</si>
  <si>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</si>
  <si>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</si>
  <si>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</si>
  <si>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</si>
  <si>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</si>
  <si>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</si>
  <si>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</si>
  <si>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</si>
  <si>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</si>
  <si>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</si>
  <si>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</si>
  <si>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</si>
  <si>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</si>
  <si>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</si>
  <si>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</si>
  <si>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</si>
  <si>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</si>
  <si>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</si>
  <si>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</si>
  <si>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</si>
  <si>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</si>
  <si>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</si>
  <si>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</si>
  <si>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</si>
  <si>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</si>
  <si>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</si>
  <si>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</si>
  <si>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</si>
  <si>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</si>
  <si>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</si>
  <si>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</si>
  <si>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</si>
  <si>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</si>
  <si>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</si>
  <si>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</si>
  <si>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</si>
  <si>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</si>
  <si>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</si>
  <si>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</si>
  <si>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</si>
  <si>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</si>
  <si>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</si>
  <si>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</si>
  <si>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</si>
  <si>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</si>
  <si>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</si>
  <si>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</si>
  <si>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</si>
  <si>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</si>
  <si>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</si>
  <si>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2026-08-11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</si>
  <si>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</si>
  <si>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</si>
  <si>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</si>
  <si>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</si>
  <si>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</si>
  <si>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</si>
  <si>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</si>
  <si>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</si>
  <si>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</si>
  <si>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</si>
  <si>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</si>
  <si>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</si>
  <si>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</si>
  <si>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</si>
  <si>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</si>
  <si>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</si>
  <si>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</si>
  <si>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</si>
  <si>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</si>
  <si>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</si>
  <si>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</si>
  <si>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</si>
  <si>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</si>
  <si>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2026-08-12</t>
  </si>
  <si>
    <t>Search Failed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</si>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</sst>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12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topLeftCell="A41" zoomScale="70" zoomScaleNormal="70" workbookViewId="0">
      <selection activeCell="K81" sqref="K8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270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204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205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204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206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207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207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208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209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209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210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209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210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211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204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204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212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204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204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213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-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75</v>
      </c>
      <c r="B21" s="3" t="s">
        <v>76</v>
      </c>
      <c r="C21" s="35" t="s">
        <v>77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78</v>
      </c>
    </row>
    <row r="22" spans="1:22">
      <c r="A22" s="35"/>
      <c r="B22" s="3"/>
      <c r="C22" s="35" t="s">
        <v>79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80</v>
      </c>
    </row>
    <row r="23" spans="1:22">
      <c r="A23" s="35" t="s">
        <v>81</v>
      </c>
      <c r="B23" s="3" t="s">
        <v>82</v>
      </c>
      <c r="C23" s="35" t="s">
        <v>79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80</v>
      </c>
    </row>
    <row r="24" spans="1:22">
      <c r="A24" s="35" t="s">
        <v>83</v>
      </c>
      <c r="B24" s="3" t="s">
        <v>84</v>
      </c>
      <c r="C24" s="35" t="s">
        <v>85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86</v>
      </c>
    </row>
    <row r="25" spans="1:22">
      <c r="A25" s="35"/>
      <c r="B25" s="3"/>
      <c r="C25" s="35" t="s">
        <v>79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87</v>
      </c>
    </row>
    <row r="26" spans="1:22">
      <c r="A26" s="35" t="s">
        <v>88</v>
      </c>
      <c r="B26" s="3" t="s">
        <v>89</v>
      </c>
      <c r="C26" s="35" t="s">
        <v>79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87</v>
      </c>
    </row>
    <row r="27" spans="1:22">
      <c r="A27" s="35" t="s">
        <v>90</v>
      </c>
      <c r="B27" s="3" t="s">
        <v>91</v>
      </c>
      <c r="C27" s="35" t="s">
        <v>79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92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93</v>
      </c>
    </row>
    <row r="29" spans="1:22">
      <c r="A29" s="35" t="s">
        <v>94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93</v>
      </c>
    </row>
    <row r="30" spans="1:22">
      <c r="A30" s="35"/>
      <c r="B30" s="3"/>
      <c r="C30" s="35" t="s">
        <v>79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95</v>
      </c>
    </row>
    <row r="31" spans="1:22">
      <c r="A31" s="35" t="s">
        <v>96</v>
      </c>
      <c r="B31" s="3" t="s">
        <v>97</v>
      </c>
      <c r="C31" s="35" t="s">
        <v>79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95</v>
      </c>
    </row>
    <row r="32" spans="1:22">
      <c r="A32" s="35"/>
      <c r="B32" s="3"/>
      <c r="C32" s="35" t="s">
        <v>98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99</v>
      </c>
    </row>
    <row r="33" spans="1:22">
      <c r="A33" s="35" t="s">
        <v>100</v>
      </c>
      <c r="B33" s="3" t="s">
        <v>82</v>
      </c>
      <c r="C33" s="35" t="s">
        <v>98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99</v>
      </c>
    </row>
    <row r="34" spans="1:22">
      <c r="A34" s="35"/>
      <c r="B34" s="3"/>
      <c r="C34" s="35" t="s">
        <v>101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102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103</v>
      </c>
    </row>
    <row r="35" spans="1:22">
      <c r="A35" s="35" t="s">
        <v>104</v>
      </c>
      <c r="B35" s="3" t="s">
        <v>105</v>
      </c>
      <c r="C35" s="35" t="s">
        <v>101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102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103</v>
      </c>
    </row>
    <row r="36" spans="1:22">
      <c r="A36" s="35" t="s">
        <v>106</v>
      </c>
      <c r="B36" s="3" t="s">
        <v>107</v>
      </c>
      <c r="C36" s="35" t="s">
        <v>85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108</v>
      </c>
    </row>
    <row r="37" spans="1:22">
      <c r="A37" s="35" t="s">
        <v>109</v>
      </c>
      <c r="B37" s="3" t="s">
        <v>110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204</v>
      </c>
      <c r="F37" s="35" t="s">
        <v>111</v>
      </c>
      <c r="G37" s="35" t="str">
        <f>IF(OR(E37="", H37=""), "", IFERROR(VLOOKUP(E37&amp;"|"&amp;H37&amp;"", DB!$A:$N, 5, FALSE), ""))</f>
        <v>Search Failed</v>
      </c>
      <c r="H37" s="3" t="s">
        <v>213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-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112</v>
      </c>
    </row>
    <row r="38" spans="1:22">
      <c r="A38" s="35" t="s">
        <v>113</v>
      </c>
      <c r="B38" s="3" t="s">
        <v>76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114</v>
      </c>
    </row>
    <row r="39" spans="1:22">
      <c r="A39" s="35"/>
      <c r="B39" s="3"/>
      <c r="C39" s="35" t="s">
        <v>79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115</v>
      </c>
    </row>
    <row r="40" spans="1:22">
      <c r="A40" s="35" t="s">
        <v>116</v>
      </c>
      <c r="B40" s="3" t="s">
        <v>117</v>
      </c>
      <c r="C40" s="35" t="s">
        <v>79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115</v>
      </c>
    </row>
    <row r="41" spans="1:22">
      <c r="A41" s="35" t="s">
        <v>118</v>
      </c>
      <c r="B41" s="3" t="s">
        <v>119</v>
      </c>
      <c r="C41" s="35" t="s">
        <v>120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121</v>
      </c>
    </row>
    <row r="42" spans="1:22">
      <c r="A42" s="35"/>
      <c r="B42" s="3"/>
      <c r="C42" s="35" t="s">
        <v>85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204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122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123</v>
      </c>
      <c r="B43" s="3" t="s">
        <v>124</v>
      </c>
      <c r="C43" s="35" t="s">
        <v>85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204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213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-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125</v>
      </c>
      <c r="B44" s="3" t="s">
        <v>126</v>
      </c>
      <c r="C44" s="35" t="s">
        <v>127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204</v>
      </c>
      <c r="F44" s="35" t="s">
        <v>128</v>
      </c>
      <c r="G44" s="35" t="str">
        <f>IF(OR(E44="", H44=""), "", IFERROR(VLOOKUP(E44&amp;"|"&amp;H44&amp;"", DB!$A:$N, 5, FALSE), ""))</f>
        <v>34301-54-7</v>
      </c>
      <c r="H44" s="10" t="s">
        <v>214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129</v>
      </c>
    </row>
    <row r="45" spans="1:22">
      <c r="A45" s="35" t="s">
        <v>130</v>
      </c>
      <c r="B45" s="3" t="s">
        <v>131</v>
      </c>
      <c r="C45" s="35" t="s">
        <v>127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204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215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133</v>
      </c>
    </row>
    <row r="46" spans="1:22">
      <c r="A46" s="35" t="s">
        <v>134</v>
      </c>
      <c r="B46" s="3" t="s">
        <v>131</v>
      </c>
      <c r="C46" s="35" t="s">
        <v>127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204</v>
      </c>
      <c r="F46" s="35" t="s">
        <v>128</v>
      </c>
      <c r="G46" s="35" t="str">
        <f>IF(OR(E46="", H46=""), "", IFERROR(VLOOKUP(E46&amp;"|"&amp;H46&amp;"", DB!$A:$N, 5, FALSE), ""))</f>
        <v>118-75-2</v>
      </c>
      <c r="H46" s="10" t="s">
        <v>216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135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204</v>
      </c>
      <c r="F47" s="35"/>
      <c r="G47" s="35" t="str">
        <f>IF(OR(E47="", H47=""), "", IFERROR(VLOOKUP(E47&amp;"|"&amp;H47&amp;"", DB!$A:$N, 5, FALSE), ""))</f>
        <v>81069-02-5</v>
      </c>
      <c r="H47" s="10" t="s">
        <v>217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137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204</v>
      </c>
      <c r="F48" s="35"/>
      <c r="G48" s="35" t="str">
        <f>IF(OR(E48="", H48=""), "", IFERROR(VLOOKUP(E48&amp;"|"&amp;H48&amp;"", DB!$A:$N, 5, FALSE), ""))</f>
        <v>2051-76-5</v>
      </c>
      <c r="H48" s="3" t="s">
        <v>218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139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Alexa Fluor™ 488 Hydrazide</v>
      </c>
      <c r="E49" s="14" t="s">
        <v>219</v>
      </c>
      <c r="F49" s="35"/>
      <c r="G49" s="35">
        <f>IF(OR(E49="", H49=""), "", IFERROR(VLOOKUP(E49&amp;"|"&amp;H49&amp;"", DB!$A:$N, 5, FALSE), ""))</f>
        <v>0</v>
      </c>
      <c r="H49" s="10" t="s">
        <v>220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>RT</v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34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34" t="s">
        <v>142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219</v>
      </c>
      <c r="F50" s="35"/>
      <c r="G50" s="35">
        <f>IF(OR(E50="", H50=""), "", IFERROR(VLOOKUP(E50&amp;"|"&amp;H50&amp;"", DB!$A:$N, 5, FALSE), ""))</f>
        <v>0</v>
      </c>
      <c r="H50" s="10" t="s">
        <v>221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144</v>
      </c>
    </row>
    <row r="51" spans="1:22">
      <c r="A51" s="35" t="s">
        <v>145</v>
      </c>
      <c r="B51" s="3" t="s">
        <v>146</v>
      </c>
      <c r="C51" s="35" t="s">
        <v>127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222</v>
      </c>
      <c r="F51" s="35" t="s">
        <v>148</v>
      </c>
      <c r="G51" s="35" t="str">
        <f>IF(OR(E51="", H51=""), "", IFERROR(VLOOKUP(E51&amp;"|"&amp;H51&amp;"", DB!$A:$N, 5, FALSE), ""))</f>
        <v>530-62-1</v>
      </c>
      <c r="H51" s="3" t="s">
        <v>223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149</v>
      </c>
    </row>
    <row r="52" spans="1:22">
      <c r="A52" s="35"/>
      <c r="B52" s="3"/>
      <c r="C52" s="35"/>
      <c r="D52" s="34" t="s">
        <v>150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151</v>
      </c>
      <c r="B53" s="3" t="s">
        <v>152</v>
      </c>
      <c r="C53" s="35" t="s">
        <v>127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222</v>
      </c>
      <c r="F53" s="35" t="s">
        <v>148</v>
      </c>
      <c r="G53" s="35" t="str">
        <f>IF(OR(E53="", H53=""), "", IFERROR(VLOOKUP(E53&amp;"|"&amp;H53&amp;"", DB!$A:$N, 5, FALSE), ""))</f>
        <v>15486-96-1</v>
      </c>
      <c r="H53" s="3" t="s">
        <v>224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154</v>
      </c>
    </row>
    <row r="54" spans="1:22">
      <c r="A54" s="35" t="s">
        <v>202</v>
      </c>
      <c r="B54" s="3" t="s">
        <v>152</v>
      </c>
      <c r="C54" s="35" t="s">
        <v>35</v>
      </c>
      <c r="D54" s="34" t="s">
        <v>203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225</v>
      </c>
      <c r="B55" s="3" t="s">
        <v>226</v>
      </c>
      <c r="C55" s="35" t="s">
        <v>127</v>
      </c>
      <c r="D55" s="34" t="s">
        <v>227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271</v>
      </c>
      <c r="B56" s="3" t="s">
        <v>146</v>
      </c>
      <c r="C56" s="35" t="s">
        <v>127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222</v>
      </c>
      <c r="F56" s="35" t="s">
        <v>148</v>
      </c>
      <c r="G56" s="35" t="str">
        <f>IF(OR(E56="", H56=""), "", IFERROR(VLOOKUP(E56&amp;"|"&amp;H56&amp;"", DB!$A:$N, 5, FALSE), ""))</f>
        <v>1892-29-1</v>
      </c>
      <c r="H56" s="3" t="s">
        <v>259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272</v>
      </c>
    </row>
    <row r="57" spans="1:22">
      <c r="A57" s="35" t="s">
        <v>379</v>
      </c>
      <c r="B57" s="3" t="s">
        <v>380</v>
      </c>
      <c r="C57" s="35" t="s">
        <v>79</v>
      </c>
      <c r="D57" s="34" t="s">
        <v>381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/>
      <c r="B58" s="3"/>
      <c r="C58" s="35"/>
      <c r="D58" s="34"/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 t="shared" si="0"/>
        <v/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/>
      <c r="B59" s="3"/>
      <c r="C59" s="35"/>
      <c r="D59" s="34"/>
      <c r="E59" s="34"/>
      <c r="F59" s="35"/>
      <c r="G59" s="35"/>
      <c r="H59" s="3"/>
      <c r="I59" s="35"/>
      <c r="J59" s="35" t="str">
        <f>IF(OR(TRIM(E59)="", TRIM(H59)=""), "", IFERROR(IF(OR(VLOOKUP(E59&amp;"|"&amp;H59&amp;"", DB!$A:$N, 6, FALSE)="", VLOOKUP(E59&amp;"|"&amp;H59&amp;"", DB!$A:$N, 6, FALSE)="-"), "", VLOOKUP(E59&amp;"|"&amp;H59&amp;"", DB!$A:$N, 6, FALSE)), ""))</f>
        <v/>
      </c>
      <c r="K59" s="35"/>
      <c r="L59" s="35"/>
      <c r="M59" s="35"/>
      <c r="N59" s="35" t="str">
        <f t="shared" si="0"/>
        <v/>
      </c>
      <c r="O59" s="34"/>
      <c r="P59" s="34"/>
      <c r="Q59" s="34"/>
      <c r="R59" s="34"/>
      <c r="S59" s="34"/>
      <c r="T59" s="34"/>
      <c r="U59" s="34"/>
      <c r="V59" s="34"/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25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A2:F999 O2:V999 L2:M999">
    <cfRule type="cellIs" dxfId="127" priority="313" stopIfTrue="1" operator="equal">
      <formula>"Search Failed"</formula>
    </cfRule>
    <cfRule type="cellIs" dxfId="126" priority="314" stopIfTrue="1" operator="equal">
      <formula>"Product Not Found"</formula>
    </cfRule>
    <cfRule type="cellIs" dxfId="125" priority="315" stopIfTrue="1" operator="equal">
      <formula>"Manual Input Required"</formula>
    </cfRule>
    <cfRule type="cellIs" dxfId="124" priority="316" stopIfTrue="1" operator="equal">
      <formula>"Manual Entry Required"</formula>
    </cfRule>
  </conditionalFormatting>
  <conditionalFormatting sqref="A2:F999 O2:V999 L2:M999">
    <cfRule type="cellIs" dxfId="123" priority="323" stopIfTrue="1" operator="equal">
      <formula>"Search Failed"</formula>
    </cfRule>
    <cfRule type="cellIs" dxfId="122" priority="324" stopIfTrue="1" operator="equal">
      <formula>"Product Not Found"</formula>
    </cfRule>
    <cfRule type="cellIs" dxfId="121" priority="325" stopIfTrue="1" operator="equal">
      <formula>"Manual Input Required"</formula>
    </cfRule>
    <cfRule type="cellIs" dxfId="120" priority="326" stopIfTrue="1" operator="equal">
      <formula>"Manual Entry Required"</formula>
    </cfRule>
  </conditionalFormatting>
  <conditionalFormatting sqref="A2:F1000 O2:V1000 L2:M1000">
    <cfRule type="cellIs" dxfId="119" priority="392" stopIfTrue="1" operator="equal">
      <formula>"Search Failed"</formula>
    </cfRule>
    <cfRule type="cellIs" dxfId="118" priority="393" stopIfTrue="1" operator="equal">
      <formula>"Product Not Found"</formula>
    </cfRule>
    <cfRule type="cellIs" dxfId="117" priority="394" stopIfTrue="1" operator="equal">
      <formula>"Manual Input Required"</formula>
    </cfRule>
    <cfRule type="cellIs" dxfId="116" priority="395" stopIfTrue="1" operator="equal">
      <formula>"Manual Entry Required"</formula>
    </cfRule>
  </conditionalFormatting>
  <conditionalFormatting sqref="A2:F1000 O2:V1000 L2:M1000">
    <cfRule type="cellIs" dxfId="115" priority="402" stopIfTrue="1" operator="equal">
      <formula>"Search Failed"</formula>
    </cfRule>
    <cfRule type="cellIs" dxfId="114" priority="403" stopIfTrue="1" operator="equal">
      <formula>"Product Not Found"</formula>
    </cfRule>
    <cfRule type="cellIs" dxfId="113" priority="404" stopIfTrue="1" operator="equal">
      <formula>"Manual Input Required"</formula>
    </cfRule>
    <cfRule type="cellIs" dxfId="112" priority="405" stopIfTrue="1" operator="equal">
      <formula>"Manual Entry Required"</formula>
    </cfRule>
  </conditionalFormatting>
  <conditionalFormatting sqref="A2:F1000 O2:V1000 L2:M1000">
    <cfRule type="cellIs" dxfId="111" priority="412" stopIfTrue="1" operator="equal">
      <formula>"Search Failed"</formula>
    </cfRule>
    <cfRule type="cellIs" dxfId="110" priority="413" stopIfTrue="1" operator="equal">
      <formula>"Product Not Found"</formula>
    </cfRule>
    <cfRule type="cellIs" dxfId="109" priority="414" stopIfTrue="1" operator="equal">
      <formula>"Manual Input Required"</formula>
    </cfRule>
    <cfRule type="cellIs" dxfId="108" priority="415" stopIfTrue="1" operator="equal">
      <formula>"Manual Entry Required"</formula>
    </cfRule>
  </conditionalFormatting>
  <conditionalFormatting sqref="A2:F1000 O2:V1000 L2:M1000">
    <cfRule type="cellIs" dxfId="107" priority="422" stopIfTrue="1" operator="equal">
      <formula>"Search Failed"</formula>
    </cfRule>
    <cfRule type="cellIs" dxfId="106" priority="423" stopIfTrue="1" operator="equal">
      <formula>"Product Not Found"</formula>
    </cfRule>
    <cfRule type="cellIs" dxfId="105" priority="424" stopIfTrue="1" operator="equal">
      <formula>"Manual Input Required"</formula>
    </cfRule>
    <cfRule type="cellIs" dxfId="104" priority="425" stopIfTrue="1" operator="equal">
      <formula>"Manual Entry Required"</formula>
    </cfRule>
  </conditionalFormatting>
  <conditionalFormatting sqref="A2:F1000 O2:V1000 L2:M1000">
    <cfRule type="cellIs" dxfId="103" priority="432" stopIfTrue="1" operator="equal">
      <formula>"Search Failed"</formula>
    </cfRule>
    <cfRule type="cellIs" dxfId="102" priority="433" stopIfTrue="1" operator="equal">
      <formula>"Product Not Found"</formula>
    </cfRule>
    <cfRule type="cellIs" dxfId="101" priority="434" stopIfTrue="1" operator="equal">
      <formula>"Manual Input Required"</formula>
    </cfRule>
    <cfRule type="cellIs" dxfId="100" priority="435" stopIfTrue="1" operator="equal">
      <formula>"Manual Entry Required"</formula>
    </cfRule>
  </conditionalFormatting>
  <conditionalFormatting sqref="A2:F1000 O2:V1000 L2:M1000">
    <cfRule type="cellIs" dxfId="99" priority="442" stopIfTrue="1" operator="equal">
      <formula>"Search Failed"</formula>
    </cfRule>
    <cfRule type="cellIs" dxfId="98" priority="443" stopIfTrue="1" operator="equal">
      <formula>"Product Not Found"</formula>
    </cfRule>
    <cfRule type="cellIs" dxfId="97" priority="444" stopIfTrue="1" operator="equal">
      <formula>"Manual Input Required"</formula>
    </cfRule>
    <cfRule type="cellIs" dxfId="96" priority="445" stopIfTrue="1" operator="equal">
      <formula>"Manual Entry Required"</formula>
    </cfRule>
  </conditionalFormatting>
  <conditionalFormatting sqref="A2:F1000 O2:V1000 L2:M1000">
    <cfRule type="cellIs" dxfId="95" priority="452" stopIfTrue="1" operator="equal">
      <formula>"Search Failed"</formula>
    </cfRule>
    <cfRule type="cellIs" dxfId="94" priority="453" stopIfTrue="1" operator="equal">
      <formula>"Product Not Found"</formula>
    </cfRule>
    <cfRule type="cellIs" dxfId="93" priority="454" stopIfTrue="1" operator="equal">
      <formula>"Manual Input Required"</formula>
    </cfRule>
    <cfRule type="cellIs" dxfId="92" priority="455" stopIfTrue="1" operator="equal">
      <formula>"Manual Entry Required"</formula>
    </cfRule>
  </conditionalFormatting>
  <conditionalFormatting sqref="A2:F1000 O2:V1000 L2:M1000">
    <cfRule type="cellIs" dxfId="91" priority="462" stopIfTrue="1" operator="equal">
      <formula>"Search Failed"</formula>
    </cfRule>
    <cfRule type="cellIs" dxfId="90" priority="463" stopIfTrue="1" operator="equal">
      <formula>"Product Not Found"</formula>
    </cfRule>
    <cfRule type="cellIs" dxfId="89" priority="464" stopIfTrue="1" operator="equal">
      <formula>"Manual Input Required"</formula>
    </cfRule>
    <cfRule type="cellIs" dxfId="88" priority="465" stopIfTrue="1" operator="equal">
      <formula>"Manual Entry Required"</formula>
    </cfRule>
  </conditionalFormatting>
  <conditionalFormatting sqref="A2:F1000 O2:V1000 L2:M1000">
    <cfRule type="cellIs" dxfId="82" priority="472" stopIfTrue="1" operator="equal">
      <formula>"Search Failed"</formula>
    </cfRule>
    <cfRule type="cellIs" dxfId="81" priority="473" stopIfTrue="1" operator="equal">
      <formula>"Product Not Found"</formula>
    </cfRule>
    <cfRule type="cellIs" dxfId="80" priority="474" stopIfTrue="1" operator="equal">
      <formula>"Manual Input Required"</formula>
    </cfRule>
    <cfRule type="cellIs" dxfId="79" priority="475" stopIfTrue="1" operator="equal">
      <formula>"Manual Entry Required"</formula>
    </cfRule>
  </conditionalFormatting>
  <conditionalFormatting sqref="G2:G1000">
    <cfRule type="expression" dxfId="77" priority="477" stopIfTrue="1">
      <formula>AND(OR(TRIM(G2)="", TRIM(G2)="-"), TRIM(D2)&lt;&gt;"")</formula>
    </cfRule>
  </conditionalFormatting>
  <conditionalFormatting sqref="H2:H1000">
    <cfRule type="expression" dxfId="76" priority="478" stopIfTrue="1">
      <formula>AND(OR(TRIM(H2)="", TRIM(H2)="-"), TRIM(D2)&lt;&gt;"")</formula>
    </cfRule>
  </conditionalFormatting>
  <conditionalFormatting sqref="I2:I1000">
    <cfRule type="expression" dxfId="75" priority="479" stopIfTrue="1">
      <formula>AND(OR(TRIM(I2)="", TRIM(I2)="-"), TRIM(D2)&lt;&gt;"")</formula>
    </cfRule>
  </conditionalFormatting>
  <conditionalFormatting sqref="J2:J1000">
    <cfRule type="expression" dxfId="74" priority="480" stopIfTrue="1">
      <formula>AND(OR(TRIM(J2)="", TRIM(J2)="-"), TRIM(D2)&lt;&gt;"")</formula>
    </cfRule>
  </conditionalFormatting>
  <conditionalFormatting sqref="K2:K1000">
    <cfRule type="expression" dxfId="73" priority="481" stopIfTrue="1">
      <formula>AND(OR(TRIM(K2)="", TRIM(K2)="-"), TRIM(D2)&lt;&gt;"")</formula>
    </cfRule>
  </conditionalFormatting>
  <conditionalFormatting sqref="A2:M1000 O2:V1000">
    <cfRule type="cellIs" dxfId="72" priority="482" stopIfTrue="1" operator="equal">
      <formula>"Search Failed"</formula>
    </cfRule>
    <cfRule type="cellIs" dxfId="71" priority="483" stopIfTrue="1" operator="equal">
      <formula>"Product Not Found"</formula>
    </cfRule>
    <cfRule type="cellIs" dxfId="70" priority="484" stopIfTrue="1" operator="equal">
      <formula>"Manual Input Required"</formula>
    </cfRule>
    <cfRule type="cellIs" dxfId="69" priority="485" stopIfTrue="1" operator="equal">
      <formula>"Manual Entry Required"</formula>
    </cfRule>
  </conditionalFormatting>
  <conditionalFormatting sqref="N2:N1000">
    <cfRule type="cellIs" dxfId="68" priority="486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I2:I1000</xm:sqref>
        </x14:dataValidation>
        <x14:dataValidation type="list" allowBlank="1" showInputMessage="1" showErrorMessage="1">
          <x14:formula1>
            <xm:f>index!$C$2:$C$5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155</v>
      </c>
      <c r="B1" s="1"/>
      <c r="C1" s="2" t="s">
        <v>156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157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158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122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158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70" zoomScaleNormal="70" workbookViewId="0">
      <selection activeCell="H17" sqref="H17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159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160</v>
      </c>
      <c r="N1" s="20" t="s">
        <v>161</v>
      </c>
    </row>
    <row r="2" spans="1:14">
      <c r="A2" s="35" t="str">
        <f>B2&amp;"|"&amp;C2</f>
        <v>1|1</v>
      </c>
      <c r="B2" s="35" t="s">
        <v>41</v>
      </c>
      <c r="C2" s="3" t="s">
        <v>41</v>
      </c>
      <c r="D2" s="35" t="s">
        <v>38</v>
      </c>
      <c r="E2" s="35" t="s">
        <v>162</v>
      </c>
      <c r="F2" s="35" t="s">
        <v>163</v>
      </c>
      <c r="G2" s="34" t="s">
        <v>163</v>
      </c>
      <c r="H2" s="34" t="s">
        <v>163</v>
      </c>
      <c r="I2" s="34" t="s">
        <v>163</v>
      </c>
      <c r="J2" s="34" t="s">
        <v>163</v>
      </c>
      <c r="K2" s="34" t="s">
        <v>163</v>
      </c>
      <c r="L2" s="34" t="s">
        <v>163</v>
      </c>
      <c r="M2" s="34" t="s">
        <v>163</v>
      </c>
      <c r="N2" s="34" t="s">
        <v>164</v>
      </c>
    </row>
    <row r="3" spans="1:14">
      <c r="A3" s="35" t="str">
        <f>B3&amp;"|"&amp;C3</f>
        <v>Aa|1</v>
      </c>
      <c r="B3" s="35" t="s">
        <v>36</v>
      </c>
      <c r="C3" s="3" t="s">
        <v>41</v>
      </c>
      <c r="D3" s="35" t="s">
        <v>38</v>
      </c>
      <c r="E3" s="35" t="s">
        <v>162</v>
      </c>
      <c r="F3" s="35" t="s">
        <v>163</v>
      </c>
      <c r="G3" s="34" t="s">
        <v>163</v>
      </c>
      <c r="H3" s="34" t="s">
        <v>163</v>
      </c>
      <c r="I3" s="34" t="s">
        <v>163</v>
      </c>
      <c r="J3" s="34" t="s">
        <v>163</v>
      </c>
      <c r="K3" s="34" t="s">
        <v>163</v>
      </c>
      <c r="L3" s="34" t="s">
        <v>163</v>
      </c>
      <c r="M3" s="34" t="s">
        <v>163</v>
      </c>
      <c r="N3" s="34" t="s">
        <v>164</v>
      </c>
    </row>
    <row r="4" spans="1:14">
      <c r="A4" s="35" t="str">
        <f>B4&amp;"|"&amp;C4</f>
        <v>Aldrich|440140</v>
      </c>
      <c r="B4" s="35" t="s">
        <v>228</v>
      </c>
      <c r="C4" s="3" t="s">
        <v>229</v>
      </c>
      <c r="D4" s="35" t="s">
        <v>230</v>
      </c>
      <c r="E4" s="35" t="s">
        <v>231</v>
      </c>
      <c r="F4" s="35" t="s">
        <v>232</v>
      </c>
      <c r="G4" s="34" t="s">
        <v>232</v>
      </c>
      <c r="H4" s="34" t="s">
        <v>233</v>
      </c>
      <c r="I4" s="34" t="s">
        <v>234</v>
      </c>
      <c r="J4" s="34" t="s">
        <v>235</v>
      </c>
      <c r="K4" s="34" t="s">
        <v>236</v>
      </c>
      <c r="L4" s="34" t="s">
        <v>237</v>
      </c>
      <c r="M4" s="34" t="s">
        <v>238</v>
      </c>
      <c r="N4" s="21">
        <v>46246</v>
      </c>
    </row>
    <row r="5" spans="1:14">
      <c r="A5" s="35" t="str">
        <f>B5&amp;"|"&amp;C5</f>
        <v>Aldrich|131377</v>
      </c>
      <c r="B5" s="35" t="s">
        <v>204</v>
      </c>
      <c r="C5" s="3" t="s">
        <v>212</v>
      </c>
      <c r="D5" s="35" t="s">
        <v>273</v>
      </c>
      <c r="E5" s="35" t="s">
        <v>274</v>
      </c>
      <c r="F5" s="35" t="s">
        <v>232</v>
      </c>
      <c r="G5" s="34" t="s">
        <v>232</v>
      </c>
      <c r="H5" s="34" t="s">
        <v>232</v>
      </c>
      <c r="I5" s="34" t="s">
        <v>275</v>
      </c>
      <c r="J5" s="34" t="s">
        <v>276</v>
      </c>
      <c r="K5" s="34" t="s">
        <v>277</v>
      </c>
      <c r="L5" s="34" t="s">
        <v>278</v>
      </c>
      <c r="M5" s="34" t="s">
        <v>279</v>
      </c>
      <c r="N5" s="21">
        <v>46247</v>
      </c>
    </row>
    <row r="6" spans="1:14">
      <c r="A6" s="35" t="str">
        <f>B6&amp;"|"&amp;C6</f>
        <v>Aldrich|659452</v>
      </c>
      <c r="B6" s="35" t="s">
        <v>204</v>
      </c>
      <c r="C6" s="3" t="s">
        <v>214</v>
      </c>
      <c r="D6" s="35" t="s">
        <v>239</v>
      </c>
      <c r="E6" s="35" t="s">
        <v>240</v>
      </c>
      <c r="F6" s="35" t="s">
        <v>241</v>
      </c>
      <c r="G6" s="34" t="s">
        <v>232</v>
      </c>
      <c r="H6" s="34" t="s">
        <v>242</v>
      </c>
      <c r="I6" s="34" t="s">
        <v>243</v>
      </c>
      <c r="J6" s="34" t="s">
        <v>244</v>
      </c>
      <c r="K6" s="34" t="s">
        <v>245</v>
      </c>
      <c r="L6" s="34" t="s">
        <v>246</v>
      </c>
      <c r="M6" s="34" t="s">
        <v>247</v>
      </c>
      <c r="N6" s="21">
        <v>46247</v>
      </c>
    </row>
    <row r="7" spans="1:14">
      <c r="A7" s="35" t="str">
        <f>B7&amp;"|"&amp;C7</f>
        <v>Aldrich|402788</v>
      </c>
      <c r="B7" s="35" t="s">
        <v>22</v>
      </c>
      <c r="C7" s="3" t="s">
        <v>132</v>
      </c>
      <c r="D7" s="35" t="s">
        <v>133</v>
      </c>
      <c r="E7" s="35" t="s">
        <v>168</v>
      </c>
      <c r="F7" s="35" t="s">
        <v>57</v>
      </c>
      <c r="G7" s="34" t="s">
        <v>163</v>
      </c>
      <c r="H7" s="34" t="s">
        <v>167</v>
      </c>
      <c r="I7" s="34" t="s">
        <v>169</v>
      </c>
      <c r="J7" s="34" t="s">
        <v>170</v>
      </c>
      <c r="K7" s="34" t="s">
        <v>171</v>
      </c>
      <c r="L7" s="34" t="s">
        <v>172</v>
      </c>
      <c r="M7" s="34" t="s">
        <v>173</v>
      </c>
      <c r="N7" s="34" t="s">
        <v>164</v>
      </c>
    </row>
    <row r="8" spans="1:14">
      <c r="A8" s="35" t="str">
        <f>B8&amp;"|"&amp;C8</f>
        <v>Aldrich|909270-10G</v>
      </c>
      <c r="B8" s="35" t="s">
        <v>22</v>
      </c>
      <c r="C8" s="3" t="s">
        <v>138</v>
      </c>
      <c r="D8" s="35" t="s">
        <v>139</v>
      </c>
      <c r="E8" s="35" t="s">
        <v>174</v>
      </c>
      <c r="F8" s="35" t="s">
        <v>257</v>
      </c>
      <c r="G8" s="34" t="s">
        <v>163</v>
      </c>
      <c r="H8" s="34" t="s">
        <v>167</v>
      </c>
      <c r="I8" s="34" t="s">
        <v>175</v>
      </c>
      <c r="J8" s="34" t="s">
        <v>176</v>
      </c>
      <c r="K8" s="34" t="s">
        <v>177</v>
      </c>
      <c r="L8" s="34" t="s">
        <v>178</v>
      </c>
      <c r="M8" s="34" t="s">
        <v>179</v>
      </c>
      <c r="N8" s="34" t="s">
        <v>164</v>
      </c>
    </row>
    <row r="9" spans="1:14">
      <c r="A9" s="35" t="str">
        <f>B9&amp;"|"&amp;C9</f>
        <v>Aldrich|803200</v>
      </c>
      <c r="B9" s="35" t="s">
        <v>22</v>
      </c>
      <c r="C9" s="3" t="s">
        <v>136</v>
      </c>
      <c r="D9" s="35" t="s">
        <v>137</v>
      </c>
      <c r="E9" s="35" t="s">
        <v>180</v>
      </c>
      <c r="F9" s="35" t="s">
        <v>57</v>
      </c>
      <c r="G9" s="34" t="s">
        <v>163</v>
      </c>
      <c r="H9" s="34" t="s">
        <v>163</v>
      </c>
      <c r="I9" s="34" t="s">
        <v>163</v>
      </c>
      <c r="J9" s="34" t="s">
        <v>163</v>
      </c>
      <c r="K9" s="34" t="s">
        <v>181</v>
      </c>
      <c r="L9" s="34" t="s">
        <v>182</v>
      </c>
      <c r="M9" s="34" t="s">
        <v>183</v>
      </c>
      <c r="N9" s="34" t="s">
        <v>164</v>
      </c>
    </row>
    <row r="10" spans="1:14">
      <c r="A10" s="35" t="str">
        <f>B10&amp;"|"&amp;C10</f>
        <v>Aldrich|359238</v>
      </c>
      <c r="B10" s="35" t="s">
        <v>22</v>
      </c>
      <c r="C10" s="3" t="s">
        <v>24</v>
      </c>
      <c r="D10" s="35" t="s">
        <v>26</v>
      </c>
      <c r="E10" s="35" t="s">
        <v>184</v>
      </c>
      <c r="F10" s="35" t="s">
        <v>50</v>
      </c>
      <c r="G10" s="34" t="s">
        <v>163</v>
      </c>
      <c r="H10" s="34" t="s">
        <v>163</v>
      </c>
      <c r="I10" s="34" t="s">
        <v>163</v>
      </c>
      <c r="J10" s="34" t="s">
        <v>163</v>
      </c>
      <c r="K10" s="34" t="s">
        <v>185</v>
      </c>
      <c r="L10" s="34" t="s">
        <v>186</v>
      </c>
      <c r="M10" s="34" t="s">
        <v>187</v>
      </c>
      <c r="N10" s="34" t="s">
        <v>188</v>
      </c>
    </row>
    <row r="11" spans="1:14">
      <c r="A11" s="35" t="str">
        <f>B11&amp;"|"&amp;C11</f>
        <v>Aldrich|3we3</v>
      </c>
      <c r="B11" s="35" t="s">
        <v>22</v>
      </c>
      <c r="C11" s="3" t="s">
        <v>74</v>
      </c>
      <c r="D11" s="35" t="s">
        <v>71</v>
      </c>
      <c r="E11" s="35" t="s">
        <v>189</v>
      </c>
      <c r="F11" s="35" t="s">
        <v>163</v>
      </c>
      <c r="G11" s="34" t="s">
        <v>163</v>
      </c>
      <c r="H11" s="34" t="s">
        <v>163</v>
      </c>
      <c r="I11" s="34" t="s">
        <v>163</v>
      </c>
      <c r="J11" s="34" t="s">
        <v>163</v>
      </c>
      <c r="K11" s="34"/>
      <c r="L11" s="34" t="s">
        <v>163</v>
      </c>
      <c r="M11" s="34" t="s">
        <v>163</v>
      </c>
      <c r="N11" s="34" t="s">
        <v>188</v>
      </c>
    </row>
    <row r="12" spans="1:14">
      <c r="A12" s="35" t="str">
        <f>B12&amp;"|"&amp;C12</f>
        <v>Aldrich|8.02361</v>
      </c>
      <c r="B12" s="35" t="s">
        <v>280</v>
      </c>
      <c r="C12" s="3" t="s">
        <v>281</v>
      </c>
      <c r="D12" s="35" t="s">
        <v>282</v>
      </c>
      <c r="E12" s="35" t="s">
        <v>283</v>
      </c>
      <c r="F12" s="35" t="s">
        <v>284</v>
      </c>
      <c r="G12" s="34" t="s">
        <v>285</v>
      </c>
      <c r="H12" s="34" t="s">
        <v>286</v>
      </c>
      <c r="I12" s="34" t="s">
        <v>287</v>
      </c>
      <c r="J12" s="34" t="s">
        <v>288</v>
      </c>
      <c r="K12" s="34" t="s">
        <v>289</v>
      </c>
      <c r="L12" s="34" t="s">
        <v>290</v>
      </c>
      <c r="M12" s="34" t="s">
        <v>291</v>
      </c>
      <c r="N12" s="21">
        <v>46247</v>
      </c>
    </row>
    <row r="13" spans="1:14">
      <c r="A13" s="35" t="str">
        <f>B13&amp;"|"&amp;C13</f>
        <v>Fff|2w5w</v>
      </c>
      <c r="B13" s="35" t="s">
        <v>42</v>
      </c>
      <c r="C13" s="3" t="s">
        <v>48</v>
      </c>
      <c r="D13" s="35" t="s">
        <v>45</v>
      </c>
      <c r="E13" s="35" t="s">
        <v>162</v>
      </c>
      <c r="F13" s="35" t="s">
        <v>163</v>
      </c>
      <c r="G13" s="34" t="s">
        <v>163</v>
      </c>
      <c r="H13" s="34" t="s">
        <v>163</v>
      </c>
      <c r="I13" s="34" t="s">
        <v>163</v>
      </c>
      <c r="J13" s="34" t="s">
        <v>163</v>
      </c>
      <c r="K13" s="34" t="s">
        <v>163</v>
      </c>
      <c r="L13" s="34" t="s">
        <v>163</v>
      </c>
      <c r="M13" s="34" t="s">
        <v>163</v>
      </c>
      <c r="N13" s="34" t="s">
        <v>164</v>
      </c>
    </row>
    <row r="14" spans="1:14">
      <c r="A14" s="35" t="str">
        <f>B14&amp;"|"&amp;C14</f>
        <v>TCI|c0119</v>
      </c>
      <c r="B14" s="35" t="s">
        <v>248</v>
      </c>
      <c r="C14" s="3" t="s">
        <v>249</v>
      </c>
      <c r="D14" s="35" t="s">
        <v>250</v>
      </c>
      <c r="E14" s="35" t="s">
        <v>251</v>
      </c>
      <c r="F14" s="35" t="s">
        <v>241</v>
      </c>
      <c r="G14" s="34" t="s">
        <v>253</v>
      </c>
      <c r="H14" s="34" t="s">
        <v>233</v>
      </c>
      <c r="I14" s="34" t="s">
        <v>234</v>
      </c>
      <c r="J14" s="34" t="s">
        <v>252</v>
      </c>
      <c r="K14" s="34" t="s">
        <v>254</v>
      </c>
      <c r="L14" s="34" t="s">
        <v>255</v>
      </c>
      <c r="M14" s="34" t="s">
        <v>256</v>
      </c>
      <c r="N14" s="21">
        <v>46246</v>
      </c>
    </row>
    <row r="15" spans="1:14">
      <c r="A15" s="35" t="str">
        <f>B15&amp;"|"&amp;C15</f>
        <v>TCI|B2065</v>
      </c>
      <c r="B15" s="35" t="s">
        <v>147</v>
      </c>
      <c r="C15" s="3" t="s">
        <v>153</v>
      </c>
      <c r="D15" s="35" t="s">
        <v>192</v>
      </c>
      <c r="E15" s="35" t="s">
        <v>193</v>
      </c>
      <c r="F15" s="35" t="s">
        <v>50</v>
      </c>
      <c r="G15" s="34" t="s">
        <v>190</v>
      </c>
      <c r="H15" s="34" t="s">
        <v>165</v>
      </c>
      <c r="I15" s="34" t="s">
        <v>166</v>
      </c>
      <c r="J15" s="34" t="s">
        <v>194</v>
      </c>
      <c r="K15" s="34" t="s">
        <v>195</v>
      </c>
      <c r="L15" s="34" t="s">
        <v>191</v>
      </c>
      <c r="M15" s="34" t="s">
        <v>196</v>
      </c>
      <c r="N15" s="34" t="s">
        <v>188</v>
      </c>
    </row>
    <row r="16" spans="1:14">
      <c r="A16" s="35" t="str">
        <f>B16&amp;"|"&amp;C16</f>
        <v>TCI|b4263</v>
      </c>
      <c r="B16" s="35" t="s">
        <v>258</v>
      </c>
      <c r="C16" s="3" t="s">
        <v>259</v>
      </c>
      <c r="D16" s="35" t="s">
        <v>260</v>
      </c>
      <c r="E16" s="35" t="s">
        <v>261</v>
      </c>
      <c r="F16" s="35" t="s">
        <v>262</v>
      </c>
      <c r="G16" s="34" t="s">
        <v>266</v>
      </c>
      <c r="H16" s="34" t="s">
        <v>263</v>
      </c>
      <c r="I16" s="34" t="s">
        <v>264</v>
      </c>
      <c r="J16" s="34" t="s">
        <v>265</v>
      </c>
      <c r="K16" s="34" t="s">
        <v>267</v>
      </c>
      <c r="L16" s="34" t="s">
        <v>268</v>
      </c>
      <c r="M16" s="34" t="s">
        <v>269</v>
      </c>
      <c r="N16" s="21">
        <v>46246</v>
      </c>
    </row>
    <row r="17" spans="1:14">
      <c r="A17" s="35" t="str">
        <f>B17&amp;"|"&amp;C17</f>
        <v>ThermoFisher|704060F</v>
      </c>
      <c r="B17" s="35" t="s">
        <v>140</v>
      </c>
      <c r="C17" s="3" t="s">
        <v>143</v>
      </c>
      <c r="D17" s="35" t="s">
        <v>144</v>
      </c>
      <c r="E17" s="35"/>
      <c r="F17" s="35" t="s">
        <v>50</v>
      </c>
      <c r="G17" s="34" t="s">
        <v>163</v>
      </c>
      <c r="H17" s="34" t="s">
        <v>163</v>
      </c>
      <c r="I17" s="34" t="s">
        <v>163</v>
      </c>
      <c r="J17" s="34" t="s">
        <v>163</v>
      </c>
      <c r="K17" s="34" t="s">
        <v>197</v>
      </c>
      <c r="L17" s="34" t="s">
        <v>198</v>
      </c>
      <c r="M17" s="34" t="s">
        <v>163</v>
      </c>
      <c r="N17" s="34" t="s">
        <v>188</v>
      </c>
    </row>
    <row r="18" spans="1:14">
      <c r="A18" s="35" t="str">
        <f>B18&amp;"|"&amp;C18</f>
        <v>ThermoFisher|A10436</v>
      </c>
      <c r="B18" s="35" t="s">
        <v>140</v>
      </c>
      <c r="C18" s="3" t="s">
        <v>141</v>
      </c>
      <c r="D18" s="35" t="s">
        <v>142</v>
      </c>
      <c r="E18" s="35"/>
      <c r="F18" s="35" t="s">
        <v>50</v>
      </c>
      <c r="G18" s="34" t="s">
        <v>163</v>
      </c>
      <c r="H18" s="34" t="s">
        <v>163</v>
      </c>
      <c r="I18" s="34" t="s">
        <v>163</v>
      </c>
      <c r="J18" s="34" t="s">
        <v>163</v>
      </c>
      <c r="K18" s="34" t="s">
        <v>199</v>
      </c>
      <c r="L18" s="34" t="s">
        <v>200</v>
      </c>
      <c r="M18" s="34" t="s">
        <v>201</v>
      </c>
      <c r="N18" s="34" t="s">
        <v>188</v>
      </c>
    </row>
  </sheetData>
  <phoneticPr fontId="1" type="noConversion"/>
  <conditionalFormatting sqref="A2:N18">
    <cfRule type="cellIs" dxfId="67" priority="1" stopIfTrue="1" operator="equal">
      <formula>"Search Failed"</formula>
    </cfRule>
    <cfRule type="cellIs" dxfId="66" priority="2" stopIfTrue="1" operator="equal">
      <formula>"Product Not Found"</formula>
    </cfRule>
    <cfRule type="cellIs" dxfId="65" priority="3" stopIfTrue="1" operator="equal">
      <formula>"Manual Input Required"</formula>
    </cfRule>
    <cfRule type="cellIs" dxfId="64" priority="4" stopIfTrue="1" operator="equal">
      <formula>"Manual Entry Required"</formula>
    </cfRule>
    <cfRule type="cellIs" dxfId="63" priority="5" stopIfTrue="1" operator="equal">
      <formula>"Search Failed"</formula>
    </cfRule>
    <cfRule type="cellIs" dxfId="62" priority="6" stopIfTrue="1" operator="equal">
      <formula>"Product Not Found"</formula>
    </cfRule>
    <cfRule type="cellIs" dxfId="61" priority="7" stopIfTrue="1" operator="equal">
      <formula>"Manual Input Required"</formula>
    </cfRule>
    <cfRule type="cellIs" dxfId="60" priority="8" stopIfTrue="1" operator="equal">
      <formula>"Manual Entry Required"</formula>
    </cfRule>
    <cfRule type="cellIs" dxfId="59" priority="9" stopIfTrue="1" operator="equal">
      <formula>"Search Failed"</formula>
    </cfRule>
    <cfRule type="cellIs" dxfId="58" priority="10" stopIfTrue="1" operator="equal">
      <formula>"Product Not Found"</formula>
    </cfRule>
    <cfRule type="cellIs" dxfId="57" priority="11" stopIfTrue="1" operator="equal">
      <formula>"Manual Input Required"</formula>
    </cfRule>
    <cfRule type="cellIs" dxfId="56" priority="12" stopIfTrue="1" operator="equal">
      <formula>"Manual Entry Required"</formula>
    </cfRule>
    <cfRule type="cellIs" dxfId="55" priority="13" stopIfTrue="1" operator="equal">
      <formula>"Search Failed"</formula>
    </cfRule>
    <cfRule type="cellIs" dxfId="54" priority="14" stopIfTrue="1" operator="equal">
      <formula>"Product Not Found"</formula>
    </cfRule>
    <cfRule type="cellIs" dxfId="53" priority="15" stopIfTrue="1" operator="equal">
      <formula>"Manual Input Required"</formula>
    </cfRule>
    <cfRule type="cellIs" dxfId="52" priority="16" stopIfTrue="1" operator="equal">
      <formula>"Manual Entry Required"</formula>
    </cfRule>
    <cfRule type="cellIs" dxfId="51" priority="17" stopIfTrue="1" operator="equal">
      <formula>"Search Failed"</formula>
    </cfRule>
    <cfRule type="cellIs" dxfId="50" priority="18" stopIfTrue="1" operator="equal">
      <formula>"Product Not Found"</formula>
    </cfRule>
    <cfRule type="cellIs" dxfId="49" priority="19" stopIfTrue="1" operator="equal">
      <formula>"Manual Input Required"</formula>
    </cfRule>
    <cfRule type="cellIs" dxfId="48" priority="20" stopIfTrue="1" operator="equal">
      <formula>"Manual Entry Required"</formula>
    </cfRule>
    <cfRule type="cellIs" dxfId="47" priority="21" stopIfTrue="1" operator="equal">
      <formula>"Search Failed"</formula>
    </cfRule>
    <cfRule type="cellIs" dxfId="46" priority="22" stopIfTrue="1" operator="equal">
      <formula>"Product Not Found"</formula>
    </cfRule>
    <cfRule type="cellIs" dxfId="45" priority="23" stopIfTrue="1" operator="equal">
      <formula>"Manual Input Required"</formula>
    </cfRule>
    <cfRule type="cellIs" dxfId="44" priority="24" stopIfTrue="1" operator="equal">
      <formula>"Manual Entry Required"</formula>
    </cfRule>
    <cfRule type="cellIs" dxfId="43" priority="25" stopIfTrue="1" operator="equal">
      <formula>"Search Failed"</formula>
    </cfRule>
    <cfRule type="cellIs" dxfId="42" priority="26" stopIfTrue="1" operator="equal">
      <formula>"Product Not Found"</formula>
    </cfRule>
    <cfRule type="cellIs" dxfId="41" priority="27" stopIfTrue="1" operator="equal">
      <formula>"Manual Input Required"</formula>
    </cfRule>
    <cfRule type="cellIs" dxfId="40" priority="28" stopIfTrue="1" operator="equal">
      <formula>"Manual Entry Required"</formula>
    </cfRule>
    <cfRule type="cellIs" dxfId="39" priority="29" stopIfTrue="1" operator="equal">
      <formula>"Search Failed"</formula>
    </cfRule>
    <cfRule type="cellIs" dxfId="38" priority="30" stopIfTrue="1" operator="equal">
      <formula>"Product Not Found"</formula>
    </cfRule>
    <cfRule type="cellIs" dxfId="37" priority="31" stopIfTrue="1" operator="equal">
      <formula>"Manual Input Required"</formula>
    </cfRule>
    <cfRule type="cellIs" dxfId="36" priority="32" stopIfTrue="1" operator="equal">
      <formula>"Manual Entry Required"</formula>
    </cfRule>
    <cfRule type="cellIs" dxfId="35" priority="33" stopIfTrue="1" operator="equal">
      <formula>"Search Failed"</formula>
    </cfRule>
    <cfRule type="cellIs" dxfId="34" priority="34" stopIfTrue="1" operator="equal">
      <formula>"Product Not Found"</formula>
    </cfRule>
    <cfRule type="cellIs" dxfId="33" priority="35" stopIfTrue="1" operator="equal">
      <formula>"Manual Input Required"</formula>
    </cfRule>
    <cfRule type="cellIs" dxfId="32" priority="36" stopIfTrue="1" operator="equal">
      <formula>"Manual Entry Required"</formula>
    </cfRule>
    <cfRule type="cellIs" dxfId="31" priority="37" stopIfTrue="1" operator="equal">
      <formula>"Search Failed"</formula>
    </cfRule>
    <cfRule type="cellIs" dxfId="30" priority="38" stopIfTrue="1" operator="equal">
      <formula>"Product Not Found"</formula>
    </cfRule>
    <cfRule type="cellIs" dxfId="29" priority="39" stopIfTrue="1" operator="equal">
      <formula>"Manual Input Required"</formula>
    </cfRule>
    <cfRule type="cellIs" dxfId="28" priority="40" stopIfTrue="1" operator="equal">
      <formula>"Manual Entry Required"</formula>
    </cfRule>
    <cfRule type="cellIs" dxfId="27" priority="41" stopIfTrue="1" operator="equal">
      <formula>"Search Failed"</formula>
    </cfRule>
    <cfRule type="cellIs" dxfId="26" priority="42" stopIfTrue="1" operator="equal">
      <formula>"Product Not Found"</formula>
    </cfRule>
    <cfRule type="cellIs" dxfId="25" priority="43" stopIfTrue="1" operator="equal">
      <formula>"Manual Input Required"</formula>
    </cfRule>
    <cfRule type="cellIs" dxfId="24" priority="44" stopIfTrue="1" operator="equal">
      <formula>"Manual Entry Required"</formula>
    </cfRule>
    <cfRule type="cellIs" dxfId="23" priority="45" stopIfTrue="1" operator="equal">
      <formula>"Search Failed"</formula>
    </cfRule>
    <cfRule type="cellIs" dxfId="22" priority="46" stopIfTrue="1" operator="equal">
      <formula>"Product Not Found"</formula>
    </cfRule>
    <cfRule type="cellIs" dxfId="21" priority="47" stopIfTrue="1" operator="equal">
      <formula>"Manual Input Required"</formula>
    </cfRule>
    <cfRule type="cellIs" dxfId="20" priority="48" stopIfTrue="1" operator="equal">
      <formula>"Manual Entry Required"</formula>
    </cfRule>
    <cfRule type="cellIs" dxfId="19" priority="49" stopIfTrue="1" operator="equal">
      <formula>"Search Failed"</formula>
    </cfRule>
    <cfRule type="cellIs" dxfId="18" priority="50" stopIfTrue="1" operator="equal">
      <formula>"Product Not Found"</formula>
    </cfRule>
    <cfRule type="cellIs" dxfId="17" priority="51" stopIfTrue="1" operator="equal">
      <formula>"Manual Input Required"</formula>
    </cfRule>
    <cfRule type="cellIs" dxfId="16" priority="52" stopIfTrue="1" operator="equal">
      <formula>"Manual Entry Required"</formula>
    </cfRule>
    <cfRule type="cellIs" dxfId="15" priority="53" stopIfTrue="1" operator="equal">
      <formula>"Search Failed"</formula>
    </cfRule>
    <cfRule type="cellIs" dxfId="14" priority="54" stopIfTrue="1" operator="equal">
      <formula>"Product Not Found"</formula>
    </cfRule>
    <cfRule type="cellIs" dxfId="13" priority="55" stopIfTrue="1" operator="equal">
      <formula>"Manual Input Required"</formula>
    </cfRule>
    <cfRule type="cellIs" dxfId="12" priority="56" stopIfTrue="1" operator="equal">
      <formula>"Manual Entry Required"</formula>
    </cfRule>
    <cfRule type="cellIs" dxfId="11" priority="57" stopIfTrue="1" operator="equal">
      <formula>"Search Failed"</formula>
    </cfRule>
    <cfRule type="cellIs" dxfId="10" priority="58" stopIfTrue="1" operator="equal">
      <formula>"Product Not Found"</formula>
    </cfRule>
    <cfRule type="cellIs" dxfId="9" priority="59" stopIfTrue="1" operator="equal">
      <formula>"Manual Input Required"</formula>
    </cfRule>
    <cfRule type="cellIs" dxfId="8" priority="60" stopIfTrue="1" operator="equal">
      <formula>"Manual Entry Required"</formula>
    </cfRule>
    <cfRule type="cellIs" dxfId="7" priority="61" stopIfTrue="1" operator="equal">
      <formula>"Search Failed"</formula>
    </cfRule>
    <cfRule type="cellIs" dxfId="6" priority="62" stopIfTrue="1" operator="equal">
      <formula>"Product Not Found"</formula>
    </cfRule>
    <cfRule type="cellIs" dxfId="5" priority="63" stopIfTrue="1" operator="equal">
      <formula>"Manual Input Required"</formula>
    </cfRule>
    <cfRule type="cellIs" dxfId="4" priority="64" stopIfTrue="1" operator="equal">
      <formula>"Manual Entry Required"</formula>
    </cfRule>
    <cfRule type="cellIs" dxfId="3" priority="65" stopIfTrue="1" operator="equal">
      <formula>"Search Failed"</formula>
    </cfRule>
    <cfRule type="cellIs" dxfId="2" priority="66" stopIfTrue="1" operator="equal">
      <formula>"Product Not Found"</formula>
    </cfRule>
    <cfRule type="cellIs" dxfId="1" priority="67" stopIfTrue="1" operator="equal">
      <formula>"Manual Input Required"</formula>
    </cfRule>
    <cfRule type="cellIs" dxfId="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38" t="s">
        <v>292</v>
      </c>
      <c r="B1" s="39"/>
      <c r="C1" s="39"/>
      <c r="D1" s="39"/>
    </row>
    <row r="2" spans="1:4" ht="21.95" customHeight="1">
      <c r="A2" s="39"/>
      <c r="B2" s="39"/>
      <c r="C2" s="39"/>
      <c r="D2" s="39"/>
    </row>
    <row r="4" spans="1:4" ht="27.95" customHeight="1">
      <c r="A4" s="40" t="s">
        <v>293</v>
      </c>
      <c r="B4" s="41"/>
      <c r="C4" s="41"/>
      <c r="D4" s="41"/>
    </row>
    <row r="5" spans="1:4" ht="20.100000000000001" customHeight="1">
      <c r="A5" s="42" t="s">
        <v>294</v>
      </c>
      <c r="B5" s="43"/>
      <c r="C5" s="43"/>
      <c r="D5" s="43"/>
    </row>
    <row r="7" spans="1:4" ht="24" customHeight="1">
      <c r="A7" s="44" t="s">
        <v>295</v>
      </c>
      <c r="B7" s="41"/>
      <c r="C7" s="41"/>
      <c r="D7" s="41"/>
    </row>
    <row r="8" spans="1:4" ht="24" customHeight="1">
      <c r="A8" s="22" t="s">
        <v>296</v>
      </c>
      <c r="B8" s="22" t="s">
        <v>297</v>
      </c>
      <c r="C8" s="22" t="s">
        <v>298</v>
      </c>
      <c r="D8" s="22" t="s">
        <v>299</v>
      </c>
    </row>
    <row r="9" spans="1:4" ht="21.95" customHeight="1">
      <c r="A9" s="23">
        <v>1</v>
      </c>
      <c r="B9" s="24" t="s">
        <v>300</v>
      </c>
      <c r="C9" s="31" t="s">
        <v>301</v>
      </c>
      <c r="D9" s="25" t="s">
        <v>302</v>
      </c>
    </row>
    <row r="10" spans="1:4" ht="21.95" customHeight="1">
      <c r="A10" s="26">
        <v>2</v>
      </c>
      <c r="B10" s="27" t="s">
        <v>303</v>
      </c>
      <c r="C10" s="33" t="s">
        <v>304</v>
      </c>
      <c r="D10" s="28">
        <v>46247</v>
      </c>
    </row>
    <row r="11" spans="1:4" ht="21.95" customHeight="1">
      <c r="A11" s="23">
        <v>3</v>
      </c>
      <c r="B11" s="24" t="s">
        <v>305</v>
      </c>
      <c r="C11" s="31" t="s">
        <v>306</v>
      </c>
      <c r="D11" s="25" t="s">
        <v>307</v>
      </c>
    </row>
    <row r="12" spans="1:4" ht="21.95" customHeight="1">
      <c r="A12" s="26">
        <v>4</v>
      </c>
      <c r="B12" s="27" t="s">
        <v>308</v>
      </c>
      <c r="C12" s="33" t="s">
        <v>309</v>
      </c>
      <c r="D12" s="29" t="s">
        <v>310</v>
      </c>
    </row>
    <row r="13" spans="1:4" ht="21.95" customHeight="1">
      <c r="A13" s="23">
        <v>5</v>
      </c>
      <c r="B13" s="24" t="s">
        <v>311</v>
      </c>
      <c r="C13" s="31" t="s">
        <v>312</v>
      </c>
      <c r="D13" s="25" t="s">
        <v>313</v>
      </c>
    </row>
    <row r="14" spans="1:4" ht="21.95" customHeight="1">
      <c r="A14" s="26">
        <v>6</v>
      </c>
      <c r="B14" s="27" t="s">
        <v>314</v>
      </c>
      <c r="C14" s="33" t="s">
        <v>315</v>
      </c>
      <c r="D14" s="29" t="s">
        <v>316</v>
      </c>
    </row>
    <row r="15" spans="1:4" ht="21.95" customHeight="1">
      <c r="A15" s="23">
        <v>7</v>
      </c>
      <c r="B15" s="24" t="s">
        <v>317</v>
      </c>
      <c r="C15" s="31" t="s">
        <v>318</v>
      </c>
      <c r="D15" s="25" t="s">
        <v>319</v>
      </c>
    </row>
    <row r="16" spans="1:4" ht="21.95" customHeight="1">
      <c r="A16" s="26">
        <v>8</v>
      </c>
      <c r="B16" s="27" t="s">
        <v>320</v>
      </c>
      <c r="C16" s="33" t="s">
        <v>321</v>
      </c>
      <c r="D16" s="29" t="s">
        <v>322</v>
      </c>
    </row>
    <row r="17" spans="1:4" ht="21.95" customHeight="1">
      <c r="A17" s="23">
        <v>9</v>
      </c>
      <c r="B17" s="24" t="s">
        <v>323</v>
      </c>
      <c r="C17" s="31" t="s">
        <v>324</v>
      </c>
      <c r="D17" s="25" t="s">
        <v>325</v>
      </c>
    </row>
    <row r="18" spans="1:4" ht="21.95" customHeight="1"/>
    <row r="19" spans="1:4" ht="24" customHeight="1">
      <c r="A19" s="44" t="s">
        <v>326</v>
      </c>
      <c r="B19" s="41"/>
      <c r="C19" s="41"/>
      <c r="D19" s="41"/>
    </row>
    <row r="20" spans="1:4" ht="24" customHeight="1">
      <c r="A20" s="36" t="s">
        <v>327</v>
      </c>
      <c r="B20" s="37"/>
      <c r="C20" s="37"/>
      <c r="D20" s="37"/>
    </row>
    <row r="21" spans="1:4" ht="24" customHeight="1">
      <c r="A21" s="36" t="s">
        <v>328</v>
      </c>
      <c r="B21" s="37"/>
      <c r="C21" s="37"/>
      <c r="D21" s="37"/>
    </row>
    <row r="22" spans="1:4" ht="24" customHeight="1"/>
    <row r="23" spans="1:4" ht="24" customHeight="1"/>
    <row r="24" spans="1:4" ht="27.95" customHeight="1">
      <c r="A24" s="40" t="s">
        <v>329</v>
      </c>
      <c r="B24" s="41"/>
      <c r="C24" s="41"/>
      <c r="D24" s="41"/>
    </row>
    <row r="25" spans="1:4" ht="24" customHeight="1">
      <c r="A25" s="44" t="s">
        <v>330</v>
      </c>
      <c r="B25" s="41"/>
      <c r="C25" s="41"/>
      <c r="D25" s="41"/>
    </row>
    <row r="26" spans="1:4" ht="24" customHeight="1">
      <c r="A26" s="22" t="s">
        <v>331</v>
      </c>
      <c r="B26" s="22" t="s">
        <v>332</v>
      </c>
      <c r="C26" s="22" t="s">
        <v>333</v>
      </c>
      <c r="D26" s="22" t="s">
        <v>334</v>
      </c>
    </row>
    <row r="27" spans="1:4" ht="21.95" customHeight="1">
      <c r="A27" s="23" t="s">
        <v>335</v>
      </c>
      <c r="B27" s="23" t="s">
        <v>336</v>
      </c>
      <c r="C27" s="31" t="s">
        <v>337</v>
      </c>
      <c r="D27" s="31" t="s">
        <v>338</v>
      </c>
    </row>
    <row r="28" spans="1:4" ht="21.95" customHeight="1">
      <c r="A28" s="26" t="s">
        <v>374</v>
      </c>
      <c r="B28" s="26" t="s">
        <v>375</v>
      </c>
      <c r="C28" s="33" t="s">
        <v>376</v>
      </c>
      <c r="D28" s="33" t="s">
        <v>377</v>
      </c>
    </row>
    <row r="29" spans="1:4" ht="21.95" customHeight="1">
      <c r="A29" s="23" t="s">
        <v>339</v>
      </c>
      <c r="B29" s="23" t="s">
        <v>340</v>
      </c>
      <c r="C29" s="31" t="s">
        <v>341</v>
      </c>
      <c r="D29" s="31" t="s">
        <v>342</v>
      </c>
    </row>
    <row r="30" spans="1:4" ht="21.95" customHeight="1">
      <c r="A30" s="26" t="s">
        <v>343</v>
      </c>
      <c r="B30" s="26" t="s">
        <v>344</v>
      </c>
      <c r="C30" s="33" t="s">
        <v>345</v>
      </c>
      <c r="D30" s="33" t="s">
        <v>346</v>
      </c>
    </row>
    <row r="31" spans="1:4" ht="21.95" customHeight="1"/>
    <row r="32" spans="1:4" ht="24" customHeight="1">
      <c r="A32" s="44" t="s">
        <v>347</v>
      </c>
      <c r="B32" s="41"/>
      <c r="C32" s="41"/>
      <c r="D32" s="41"/>
    </row>
    <row r="33" spans="1:4" ht="24" customHeight="1">
      <c r="A33" s="22" t="s">
        <v>297</v>
      </c>
      <c r="B33" s="22" t="s">
        <v>348</v>
      </c>
      <c r="C33" s="22" t="s">
        <v>349</v>
      </c>
      <c r="D33" s="22" t="s">
        <v>350</v>
      </c>
    </row>
    <row r="34" spans="1:4" ht="21.95" customHeight="1">
      <c r="A34" s="24" t="s">
        <v>351</v>
      </c>
      <c r="B34" s="23" t="s">
        <v>352</v>
      </c>
      <c r="C34" s="31" t="s">
        <v>353</v>
      </c>
      <c r="D34" s="25" t="s">
        <v>354</v>
      </c>
    </row>
    <row r="35" spans="1:4" ht="21.95" customHeight="1">
      <c r="A35" s="27" t="s">
        <v>355</v>
      </c>
      <c r="B35" s="26" t="s">
        <v>352</v>
      </c>
      <c r="C35" s="33" t="s">
        <v>356</v>
      </c>
      <c r="D35" s="29" t="s">
        <v>357</v>
      </c>
    </row>
    <row r="36" spans="1:4" ht="21.95" customHeight="1">
      <c r="A36" s="24" t="s">
        <v>358</v>
      </c>
      <c r="B36" s="23" t="s">
        <v>352</v>
      </c>
      <c r="C36" s="31" t="s">
        <v>378</v>
      </c>
      <c r="D36" s="25" t="s">
        <v>359</v>
      </c>
    </row>
    <row r="37" spans="1:4" ht="21.95" customHeight="1">
      <c r="A37" s="27" t="s">
        <v>360</v>
      </c>
      <c r="B37" s="26" t="s">
        <v>352</v>
      </c>
      <c r="C37" s="33" t="s">
        <v>361</v>
      </c>
      <c r="D37" s="29" t="s">
        <v>362</v>
      </c>
    </row>
    <row r="38" spans="1:4" ht="21.95" customHeight="1"/>
    <row r="39" spans="1:4" ht="24" customHeight="1">
      <c r="A39" s="44" t="s">
        <v>363</v>
      </c>
      <c r="B39" s="41"/>
      <c r="C39" s="41"/>
      <c r="D39" s="41"/>
    </row>
    <row r="40" spans="1:4" ht="26.1" customHeight="1">
      <c r="A40" s="36" t="s">
        <v>364</v>
      </c>
      <c r="B40" s="37"/>
      <c r="C40" s="37"/>
      <c r="D40" s="37"/>
    </row>
    <row r="41" spans="1:4" ht="26.1" customHeight="1">
      <c r="A41" s="36" t="s">
        <v>365</v>
      </c>
      <c r="B41" s="37"/>
      <c r="C41" s="37"/>
      <c r="D41" s="37"/>
    </row>
    <row r="42" spans="1:4" ht="26.1" customHeight="1">
      <c r="A42" s="36" t="s">
        <v>366</v>
      </c>
      <c r="B42" s="37"/>
      <c r="C42" s="37"/>
      <c r="D42" s="37"/>
    </row>
    <row r="43" spans="1:4" ht="26.1" customHeight="1"/>
    <row r="44" spans="1:4" ht="26.1" customHeight="1"/>
    <row r="45" spans="1:4" ht="27.95" customHeight="1">
      <c r="A45" s="40" t="s">
        <v>367</v>
      </c>
      <c r="B45" s="41"/>
      <c r="C45" s="41"/>
      <c r="D45" s="41"/>
    </row>
    <row r="46" spans="1:4" ht="21.95" customHeight="1">
      <c r="A46" s="30" t="s">
        <v>368</v>
      </c>
      <c r="B46" s="45" t="s">
        <v>369</v>
      </c>
      <c r="C46" s="37"/>
      <c r="D46" s="37"/>
    </row>
    <row r="47" spans="1:4" ht="21.95" customHeight="1">
      <c r="A47" s="32" t="s">
        <v>370</v>
      </c>
      <c r="B47" s="46" t="s">
        <v>371</v>
      </c>
      <c r="C47" s="37"/>
      <c r="D47" s="37"/>
    </row>
    <row r="48" spans="1:4" ht="21.95" customHeight="1">
      <c r="A48" s="30" t="s">
        <v>372</v>
      </c>
      <c r="B48" s="45" t="s">
        <v>373</v>
      </c>
      <c r="C48" s="37"/>
      <c r="D48" s="37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2026-08-13T06:28:46Z</dcterms:modified>
</cp:coreProperties>
</file>