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eonghun Lee\.gemini\antigravity\scratch\chemical manager\"/>
    </mc:Choice>
  </mc:AlternateContent>
  <bookViews>
    <workbookView xWindow="29520" yWindow="0" windowWidth="28800" windowHeight="11850"/>
  </bookViews>
  <sheets>
    <sheet name="ChemicalList" sheetId="1" r:id="rId1"/>
    <sheet name="index" sheetId="2" r:id="rId2"/>
    <sheet name="DB" sheetId="3" r:id="rId3"/>
    <sheet name="Guide" sheetId="4" r:id="rId4"/>
  </sheets>
  <definedNames>
    <definedName name="_xlnm._FilterDatabase" localSheetId="0" hidden="1">ChemicalList!$A$1:$O$999</definedName>
  </definedNames>
  <calcPr calcId="162913"/>
</workbook>
</file>

<file path=xl/calcChain.xml><?xml version="1.0" encoding="utf-8"?>
<calcChain xmlns="http://schemas.openxmlformats.org/spreadsheetml/2006/main">
  <c r="A19" i="3" l="1"/>
  <c r="U59" i="1"/>
  <c r="T59" i="1"/>
  <c r="S59" i="1"/>
  <c r="R59" i="1"/>
  <c r="Q59" i="1"/>
  <c r="P59" i="1"/>
  <c r="J59" i="1"/>
  <c r="G59" i="1"/>
  <c r="D59" i="1"/>
  <c r="N59" i="1" s="1"/>
  <c r="A18" i="3" l="1"/>
  <c r="A2" i="3" l="1"/>
  <c r="A3" i="3"/>
  <c r="A4" i="3"/>
  <c r="N58" i="1" l="1"/>
  <c r="J58" i="1"/>
  <c r="N52" i="1" l="1"/>
  <c r="N54" i="1"/>
  <c r="N55" i="1"/>
  <c r="N57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J4" i="1"/>
  <c r="J5" i="1"/>
  <c r="J7" i="1"/>
  <c r="J10" i="1"/>
  <c r="J11" i="1"/>
  <c r="J12" i="1"/>
  <c r="J13" i="1"/>
  <c r="J14" i="1"/>
  <c r="J16" i="1"/>
  <c r="J17" i="1"/>
  <c r="J18" i="1"/>
  <c r="J19" i="1"/>
  <c r="J22" i="1"/>
  <c r="J23" i="1"/>
  <c r="J24" i="1"/>
  <c r="J25" i="1"/>
  <c r="J27" i="1"/>
  <c r="J28" i="1"/>
  <c r="J29" i="1"/>
  <c r="J30" i="1"/>
  <c r="J31" i="1"/>
  <c r="J32" i="1"/>
  <c r="J33" i="1"/>
  <c r="J34" i="1"/>
  <c r="J35" i="1"/>
  <c r="J36" i="1"/>
  <c r="J38" i="1"/>
  <c r="J39" i="1"/>
  <c r="J40" i="1"/>
  <c r="J41" i="1"/>
  <c r="J42" i="1"/>
  <c r="J52" i="1"/>
  <c r="J54" i="1"/>
  <c r="J55" i="1"/>
  <c r="J57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Q3" i="1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D53" i="1" s="1"/>
  <c r="N53" i="1" s="1"/>
  <c r="J46" i="1" l="1"/>
  <c r="S45" i="1"/>
  <c r="P6" i="1"/>
  <c r="T3" i="1"/>
  <c r="T6" i="1"/>
  <c r="Q6" i="1"/>
  <c r="U6" i="1"/>
  <c r="S3" i="1"/>
  <c r="S2" i="1"/>
  <c r="D6" i="1"/>
  <c r="N6" i="1" s="1"/>
  <c r="R15" i="1"/>
  <c r="Q15" i="1"/>
  <c r="T15" i="1"/>
  <c r="P15" i="1"/>
  <c r="U15" i="1"/>
  <c r="G6" i="1"/>
  <c r="P3" i="1"/>
  <c r="U50" i="1"/>
  <c r="J45" i="1"/>
  <c r="T48" i="1"/>
  <c r="J44" i="1"/>
  <c r="P56" i="1"/>
  <c r="G9" i="1"/>
  <c r="P8" i="1"/>
  <c r="U48" i="1"/>
  <c r="S44" i="1"/>
  <c r="U46" i="1"/>
  <c r="P49" i="1"/>
  <c r="R51" i="1"/>
  <c r="T56" i="1"/>
  <c r="R3" i="1"/>
  <c r="S8" i="1"/>
  <c r="S15" i="1"/>
  <c r="T37" i="1"/>
  <c r="T44" i="1"/>
  <c r="D46" i="1"/>
  <c r="N46" i="1" s="1"/>
  <c r="Q49" i="1"/>
  <c r="S51" i="1"/>
  <c r="U56" i="1"/>
  <c r="J56" i="1"/>
  <c r="J6" i="1"/>
  <c r="T2" i="1"/>
  <c r="S48" i="1"/>
  <c r="P37" i="1"/>
  <c r="Q44" i="1"/>
  <c r="R44" i="1"/>
  <c r="P47" i="1"/>
  <c r="U8" i="1"/>
  <c r="D37" i="1"/>
  <c r="N37" i="1" s="1"/>
  <c r="D44" i="1"/>
  <c r="N44" i="1" s="1"/>
  <c r="U51" i="1"/>
  <c r="J20" i="1"/>
  <c r="U3" i="1"/>
  <c r="D15" i="1"/>
  <c r="N15" i="1" s="1"/>
  <c r="G37" i="1"/>
  <c r="P45" i="1"/>
  <c r="R47" i="1"/>
  <c r="T49" i="1"/>
  <c r="D51" i="1"/>
  <c r="N51" i="1" s="1"/>
  <c r="J53" i="1"/>
  <c r="J37" i="1"/>
  <c r="J3" i="1"/>
  <c r="D9" i="1"/>
  <c r="N9" i="1" s="1"/>
  <c r="S56" i="1"/>
  <c r="U44" i="1"/>
  <c r="Q47" i="1"/>
  <c r="S49" i="1"/>
  <c r="D8" i="1"/>
  <c r="N8" i="1" s="1"/>
  <c r="D3" i="1"/>
  <c r="N3" i="1" s="1"/>
  <c r="G8" i="1"/>
  <c r="P20" i="1"/>
  <c r="P43" i="1"/>
  <c r="Q45" i="1"/>
  <c r="S47" i="1"/>
  <c r="U49" i="1"/>
  <c r="P53" i="1"/>
  <c r="J2" i="1"/>
  <c r="Q46" i="1"/>
  <c r="U2" i="1"/>
  <c r="Q56" i="1"/>
  <c r="D2" i="1"/>
  <c r="N2" i="1" s="1"/>
  <c r="R56" i="1"/>
  <c r="J9" i="1"/>
  <c r="R37" i="1"/>
  <c r="D56" i="1"/>
  <c r="N56" i="1" s="1"/>
  <c r="R45" i="1"/>
  <c r="J51" i="1"/>
  <c r="U47" i="1"/>
  <c r="R6" i="1"/>
  <c r="S20" i="1"/>
  <c r="D47" i="1"/>
  <c r="N47" i="1" s="1"/>
  <c r="S53" i="1"/>
  <c r="J49" i="1"/>
  <c r="J15" i="1"/>
  <c r="R46" i="1"/>
  <c r="P51" i="1"/>
  <c r="J43" i="1"/>
  <c r="Q8" i="1"/>
  <c r="D48" i="1"/>
  <c r="N48" i="1" s="1"/>
  <c r="J8" i="1"/>
  <c r="R8" i="1"/>
  <c r="S37" i="1"/>
  <c r="U37" i="1"/>
  <c r="T51" i="1"/>
  <c r="Q43" i="1"/>
  <c r="Q53" i="1"/>
  <c r="R43" i="1"/>
  <c r="P50" i="1"/>
  <c r="J50" i="1"/>
  <c r="P2" i="1"/>
  <c r="R9" i="1"/>
  <c r="S43" i="1"/>
  <c r="T45" i="1"/>
  <c r="Q50" i="1"/>
  <c r="Q2" i="1"/>
  <c r="S6" i="1"/>
  <c r="S9" i="1"/>
  <c r="T20" i="1"/>
  <c r="T43" i="1"/>
  <c r="U45" i="1"/>
  <c r="P48" i="1"/>
  <c r="R50" i="1"/>
  <c r="T53" i="1"/>
  <c r="J48" i="1"/>
  <c r="G20" i="1"/>
  <c r="D50" i="1"/>
  <c r="N50" i="1" s="1"/>
  <c r="Q37" i="1"/>
  <c r="Q51" i="1"/>
  <c r="T8" i="1"/>
  <c r="P9" i="1"/>
  <c r="T47" i="1"/>
  <c r="R20" i="1"/>
  <c r="R53" i="1"/>
  <c r="R2" i="1"/>
  <c r="T9" i="1"/>
  <c r="U20" i="1"/>
  <c r="U43" i="1"/>
  <c r="D45" i="1"/>
  <c r="N45" i="1" s="1"/>
  <c r="Q48" i="1"/>
  <c r="S50" i="1"/>
  <c r="U53" i="1"/>
  <c r="J47" i="1"/>
  <c r="G43" i="1"/>
  <c r="P44" i="1"/>
  <c r="S46" i="1"/>
  <c r="T46" i="1"/>
  <c r="R49" i="1"/>
  <c r="Q20" i="1"/>
  <c r="D49" i="1"/>
  <c r="N49" i="1" s="1"/>
  <c r="Q9" i="1"/>
  <c r="U9" i="1"/>
  <c r="D20" i="1"/>
  <c r="N20" i="1" s="1"/>
  <c r="D43" i="1"/>
  <c r="N43" i="1" s="1"/>
  <c r="P46" i="1"/>
  <c r="R48" i="1"/>
  <c r="T50" i="1"/>
  <c r="G56" i="1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  <c r="G53" i="1"/>
  <c r="G51" i="1"/>
  <c r="G50" i="1"/>
  <c r="G49" i="1"/>
  <c r="G48" i="1"/>
  <c r="G47" i="1"/>
  <c r="G46" i="1"/>
  <c r="G45" i="1"/>
  <c r="G44" i="1"/>
  <c r="U42" i="1"/>
  <c r="T42" i="1"/>
  <c r="S42" i="1"/>
  <c r="R42" i="1"/>
  <c r="Q42" i="1"/>
  <c r="P42" i="1"/>
  <c r="G42" i="1"/>
  <c r="D42" i="1"/>
  <c r="N42" i="1" s="1"/>
  <c r="G41" i="1"/>
  <c r="D41" i="1"/>
  <c r="N41" i="1" s="1"/>
  <c r="G40" i="1"/>
  <c r="D40" i="1"/>
  <c r="N40" i="1" s="1"/>
  <c r="G39" i="1"/>
  <c r="D39" i="1"/>
  <c r="N39" i="1" s="1"/>
  <c r="G38" i="1"/>
  <c r="D38" i="1"/>
  <c r="N38" i="1" s="1"/>
  <c r="G36" i="1"/>
  <c r="D36" i="1"/>
  <c r="N36" i="1" s="1"/>
  <c r="G35" i="1"/>
  <c r="D35" i="1"/>
  <c r="N35" i="1" s="1"/>
  <c r="G34" i="1"/>
  <c r="D34" i="1"/>
  <c r="N34" i="1" s="1"/>
  <c r="G33" i="1"/>
  <c r="D33" i="1"/>
  <c r="N33" i="1" s="1"/>
  <c r="G32" i="1"/>
  <c r="D32" i="1"/>
  <c r="N32" i="1" s="1"/>
  <c r="G31" i="1"/>
  <c r="D31" i="1"/>
  <c r="N31" i="1" s="1"/>
  <c r="G30" i="1"/>
  <c r="D30" i="1"/>
  <c r="N30" i="1" s="1"/>
  <c r="G29" i="1"/>
  <c r="D29" i="1"/>
  <c r="N29" i="1" s="1"/>
  <c r="G28" i="1"/>
  <c r="D28" i="1"/>
  <c r="N28" i="1" s="1"/>
  <c r="G27" i="1"/>
  <c r="D27" i="1"/>
  <c r="N27" i="1" s="1"/>
  <c r="G26" i="1"/>
  <c r="D26" i="1"/>
  <c r="N26" i="1" s="1"/>
  <c r="G25" i="1"/>
  <c r="D25" i="1"/>
  <c r="N25" i="1" s="1"/>
  <c r="G24" i="1"/>
  <c r="D24" i="1"/>
  <c r="N24" i="1" s="1"/>
  <c r="G23" i="1"/>
  <c r="D23" i="1"/>
  <c r="N23" i="1" s="1"/>
  <c r="G22" i="1"/>
  <c r="D22" i="1"/>
  <c r="N22" i="1" s="1"/>
  <c r="G21" i="1"/>
  <c r="D21" i="1"/>
  <c r="N21" i="1" s="1"/>
  <c r="U19" i="1"/>
  <c r="T19" i="1"/>
  <c r="S19" i="1"/>
  <c r="R19" i="1"/>
  <c r="Q19" i="1"/>
  <c r="P19" i="1"/>
  <c r="G19" i="1"/>
  <c r="D19" i="1"/>
  <c r="N19" i="1" s="1"/>
  <c r="G18" i="1"/>
  <c r="D18" i="1"/>
  <c r="N18" i="1" s="1"/>
  <c r="G17" i="1"/>
  <c r="D17" i="1"/>
  <c r="N17" i="1" s="1"/>
  <c r="G16" i="1"/>
  <c r="D16" i="1"/>
  <c r="N16" i="1" s="1"/>
  <c r="G15" i="1"/>
  <c r="U14" i="1"/>
  <c r="T14" i="1"/>
  <c r="S14" i="1"/>
  <c r="R14" i="1"/>
  <c r="Q14" i="1"/>
  <c r="P14" i="1"/>
  <c r="G14" i="1"/>
  <c r="D14" i="1"/>
  <c r="N14" i="1" s="1"/>
  <c r="G13" i="1"/>
  <c r="D13" i="1"/>
  <c r="N13" i="1" s="1"/>
  <c r="G12" i="1"/>
  <c r="D12" i="1"/>
  <c r="N12" i="1" s="1"/>
  <c r="G11" i="1"/>
  <c r="D11" i="1"/>
  <c r="N11" i="1" s="1"/>
  <c r="G10" i="1"/>
  <c r="D10" i="1"/>
  <c r="N10" i="1" s="1"/>
  <c r="U7" i="1"/>
  <c r="T7" i="1"/>
  <c r="S7" i="1"/>
  <c r="R7" i="1"/>
  <c r="Q7" i="1"/>
  <c r="P7" i="1"/>
  <c r="G7" i="1"/>
  <c r="D7" i="1"/>
  <c r="N7" i="1" s="1"/>
  <c r="U5" i="1"/>
  <c r="T5" i="1"/>
  <c r="S5" i="1"/>
  <c r="R5" i="1"/>
  <c r="Q5" i="1"/>
  <c r="P5" i="1"/>
  <c r="G5" i="1"/>
  <c r="D5" i="1"/>
  <c r="N5" i="1" s="1"/>
  <c r="G4" i="1"/>
  <c r="D4" i="1"/>
  <c r="N4" i="1" s="1"/>
  <c r="G3" i="1"/>
  <c r="G2" i="1"/>
</calcChain>
</file>

<file path=xl/sharedStrings.xml><?xml version="1.0" encoding="utf-8"?>
<sst xmlns="http://schemas.openxmlformats.org/spreadsheetml/2006/main" count="665" uniqueCount="394">
  <si>
    <t>Order No.</t>
  </si>
  <si>
    <t>Order Date</t>
  </si>
  <si>
    <t>Ordered By</t>
  </si>
  <si>
    <t>Product Name</t>
  </si>
  <si>
    <t>Manufacturer</t>
  </si>
  <si>
    <t>Package Size</t>
  </si>
  <si>
    <t>CAS No.</t>
  </si>
  <si>
    <t>Catalog No.</t>
  </si>
  <si>
    <t>Room</t>
  </si>
  <si>
    <t>Storage Temp.</t>
  </si>
  <si>
    <t>Cabinet</t>
  </si>
  <si>
    <t>Quantity</t>
  </si>
  <si>
    <t>Used</t>
  </si>
  <si>
    <t>Status</t>
  </si>
  <si>
    <t>Remarks</t>
  </si>
  <si>
    <t>Sensitivity</t>
  </si>
  <si>
    <t>Signal Word</t>
  </si>
  <si>
    <t>Key Hazards</t>
  </si>
  <si>
    <t>Detailed Hazard Classification</t>
  </si>
  <si>
    <t>Detail_Link</t>
  </si>
  <si>
    <t>SDS_Link</t>
  </si>
  <si>
    <t>Original Product Name</t>
  </si>
  <si>
    <t>Aldrich</t>
  </si>
  <si>
    <t>100 g</t>
  </si>
  <si>
    <t>359238</t>
  </si>
  <si>
    <t>Ra1</t>
  </si>
  <si>
    <t>Perfluorooctane</t>
  </si>
  <si>
    <t>100 mL</t>
  </si>
  <si>
    <t>Fa1</t>
  </si>
  <si>
    <t>(3-Aminopropyl)triethoxysilane</t>
  </si>
  <si>
    <t>26-0043</t>
  </si>
  <si>
    <t>1/28</t>
  </si>
  <si>
    <t>초오</t>
  </si>
  <si>
    <t>Ca1</t>
  </si>
  <si>
    <t>[ab213480] Anti-PD-L1 antibody</t>
  </si>
  <si>
    <t>윤벼리</t>
  </si>
  <si>
    <t>Aa</t>
  </si>
  <si>
    <t>Ca2</t>
  </si>
  <si>
    <t>[ab76003] Anti-MMP9 antibody [EP1254]</t>
  </si>
  <si>
    <t>26-0057</t>
  </si>
  <si>
    <t>2/4</t>
  </si>
  <si>
    <t>1</t>
  </si>
  <si>
    <t>Fff</t>
  </si>
  <si>
    <t>a</t>
  </si>
  <si>
    <t>Db2</t>
  </si>
  <si>
    <t>[B7651] Brefeldin A</t>
  </si>
  <si>
    <t>26-0040</t>
  </si>
  <si>
    <t>1/26</t>
  </si>
  <si>
    <t>2w5w</t>
  </si>
  <si>
    <t>26-0038</t>
  </si>
  <si>
    <t>RT</t>
  </si>
  <si>
    <t>Da1</t>
  </si>
  <si>
    <t>[S0809.5000] Sucrose</t>
  </si>
  <si>
    <t>26-0049</t>
  </si>
  <si>
    <t>1/29</t>
  </si>
  <si>
    <t>DF</t>
  </si>
  <si>
    <t>0.1 M Disodium hydrogenphos</t>
  </si>
  <si>
    <t>R</t>
  </si>
  <si>
    <t>0.1 M Sodium phosphate</t>
  </si>
  <si>
    <t>5 g</t>
  </si>
  <si>
    <t>1,10-Phenanthroline</t>
  </si>
  <si>
    <t>26-0465</t>
  </si>
  <si>
    <t>7/20</t>
  </si>
  <si>
    <t>Acrylamide</t>
  </si>
  <si>
    <t>김민수</t>
  </si>
  <si>
    <t>F</t>
  </si>
  <si>
    <t>Alexa Fluor® 488 anti- mouse CD4 Antibody</t>
  </si>
  <si>
    <t>26-0125</t>
  </si>
  <si>
    <t>3/5</t>
  </si>
  <si>
    <t>이지</t>
  </si>
  <si>
    <t>13g</t>
  </si>
  <si>
    <t>bb</t>
  </si>
  <si>
    <t>26-0025</t>
  </si>
  <si>
    <t>1/14</t>
  </si>
  <si>
    <t>26-0471</t>
  </si>
  <si>
    <t>7/21</t>
  </si>
  <si>
    <t>이정훈</t>
  </si>
  <si>
    <t>benzalkonium chloride, 50wt% solution, 500 mL</t>
  </si>
  <si>
    <t>김영범</t>
  </si>
  <si>
    <t>DMEM * 40ea</t>
  </si>
  <si>
    <t>26-0033</t>
  </si>
  <si>
    <t>1/22</t>
  </si>
  <si>
    <t>26-0473</t>
  </si>
  <si>
    <t>7/22</t>
  </si>
  <si>
    <t>최희선</t>
  </si>
  <si>
    <t>DTSSP, 3,3'-DITHIOBIS</t>
  </si>
  <si>
    <t>Ezatiostat 5mg</t>
  </si>
  <si>
    <t>26-0114</t>
  </si>
  <si>
    <t>3/17</t>
  </si>
  <si>
    <t>26-0138</t>
  </si>
  <si>
    <t>3/19</t>
  </si>
  <si>
    <t>Float A lyzer * 10pk</t>
  </si>
  <si>
    <t>Gelatin from porcine skin</t>
  </si>
  <si>
    <t>26-0060</t>
  </si>
  <si>
    <t>Guanidine hydrochloride</t>
  </si>
  <si>
    <t>26-0009</t>
  </si>
  <si>
    <t>1/9</t>
  </si>
  <si>
    <t>박은영</t>
  </si>
  <si>
    <t>Hydrocortisone-Water Soluble</t>
  </si>
  <si>
    <t>26-0045</t>
  </si>
  <si>
    <t>최수민</t>
  </si>
  <si>
    <t>f</t>
  </si>
  <si>
    <t>ICG NHS Ester, 5 mg *1ea</t>
  </si>
  <si>
    <t>26-0078</t>
  </si>
  <si>
    <t>2/19</t>
  </si>
  <si>
    <t>26-0135</t>
  </si>
  <si>
    <t>3/26</t>
  </si>
  <si>
    <t>Isopropyl alcohol 1L *10ea</t>
  </si>
  <si>
    <t>26-0014</t>
  </si>
  <si>
    <t>1/13</t>
  </si>
  <si>
    <t>12g</t>
  </si>
  <si>
    <t>ff</t>
  </si>
  <si>
    <t>26-0469</t>
  </si>
  <si>
    <t>Premixed TBS., 10X *2</t>
  </si>
  <si>
    <t>Serotonin hydrochloride 100mg</t>
  </si>
  <si>
    <t>26-0102</t>
  </si>
  <si>
    <t>3/11</t>
  </si>
  <si>
    <t>26-0455</t>
  </si>
  <si>
    <t>7/15</t>
  </si>
  <si>
    <t>와다 마이</t>
  </si>
  <si>
    <t>Sodium citrate dihydrate</t>
  </si>
  <si>
    <t>Fb1</t>
  </si>
  <si>
    <t>26-0015</t>
  </si>
  <si>
    <t>1/6</t>
  </si>
  <si>
    <t>26-0347</t>
  </si>
  <si>
    <t>6/18</t>
  </si>
  <si>
    <t>강채린</t>
  </si>
  <si>
    <t>5g</t>
  </si>
  <si>
    <t>1-Adamantanethiol</t>
  </si>
  <si>
    <t>26-0340</t>
  </si>
  <si>
    <t>6/19</t>
  </si>
  <si>
    <t>402788</t>
  </si>
  <si>
    <t>Acetaldehyde</t>
  </si>
  <si>
    <t>26-0339</t>
  </si>
  <si>
    <t>p-Chloranil</t>
  </si>
  <si>
    <t>803200</t>
  </si>
  <si>
    <t>DTSSP (3,3′-dithiobis(sulfosuccinimidyl propionate))</t>
  </si>
  <si>
    <t>909270-10G</t>
  </si>
  <si>
    <t>Acrylic anhydride</t>
  </si>
  <si>
    <t>ThermoFisher</t>
  </si>
  <si>
    <t>A10436</t>
  </si>
  <si>
    <t>Alexa Fluor™ 488 Hydrazide</t>
  </si>
  <si>
    <t>704060F</t>
  </si>
  <si>
    <t>Alexa Fluor 488 Recombinant F(ab)-Rabbit Monoclonal Antibody (15H9L93)</t>
  </si>
  <si>
    <t>26-0318</t>
  </si>
  <si>
    <t>6/15</t>
  </si>
  <si>
    <t>TCI</t>
  </si>
  <si>
    <t>25g</t>
  </si>
  <si>
    <t>1,1'-Carbonyldiimidazole</t>
  </si>
  <si>
    <t>1234fff</t>
  </si>
  <si>
    <t>26-0463</t>
  </si>
  <si>
    <t>7/16</t>
  </si>
  <si>
    <t>B2065</t>
  </si>
  <si>
    <t>3-bromopropionyl chloride</t>
  </si>
  <si>
    <t>Room List</t>
  </si>
  <si>
    <t>Storage Temp. List</t>
  </si>
  <si>
    <t>Db1</t>
  </si>
  <si>
    <t>Sa1</t>
  </si>
  <si>
    <t>Key</t>
  </si>
  <si>
    <t>SDS_Local_Path</t>
  </si>
  <si>
    <t>Revision Date</t>
  </si>
  <si>
    <t>Manual Input Required</t>
  </si>
  <si>
    <t>-</t>
  </si>
  <si>
    <t>2026-08-11</t>
  </si>
  <si>
    <t>● Danger</t>
  </si>
  <si>
    <t>▲ Corrosive / Eye Damage</t>
  </si>
  <si>
    <t>▲ Warning</t>
  </si>
  <si>
    <t>75-07-0</t>
  </si>
  <si>
    <t>★ Flammable, ◆ Irritant / Sensitizer, ▼ Health Hazard</t>
  </si>
  <si>
    <t>H319: Causes serious eye irritation / H335: May cause respiratory irritation / H341: Suspected of causing genetic defects / H350: May cause cancer / H224: Extremely flammable liquid and vapor</t>
  </si>
  <si>
    <t>https://www.sigmaaldrich.com/KR/en/product/sial/402788</t>
  </si>
  <si>
    <t>https://www.sigmaaldrich.com/KR/ko/sds/sial/402788</t>
  </si>
  <si>
    <t>C:\Users\Jeonghun Lee\.gemini\antigravity\scratch\chemical manager\sds\Acetaldehyde (Aldrich, 402788).pdf</t>
  </si>
  <si>
    <t>2051-76-5</t>
  </si>
  <si>
    <t>◆ Irritant / Sensitizer</t>
  </si>
  <si>
    <t>H315: Causes skin irritation / H317: May cause an allergic skin reaction / H319: Causes serious eye irritation / H335: May cause respiratory irritation / H302: Harmful if swallowed</t>
  </si>
  <si>
    <t>https://www.sigmaaldrich.com/KR/en/product/aldrich/909270</t>
  </si>
  <si>
    <t>https://www.sigmaaldrich.com/KR/ko/sds/aldrich/909270</t>
  </si>
  <si>
    <t>C:\Users\Jeonghun Lee\.gemini\antigravity\scratch\chemical manager\sds\Acrylic anhydride (Aldrich, 909270).pdf</t>
  </si>
  <si>
    <t>81069-02-5</t>
  </si>
  <si>
    <t>https://www.sigmaaldrich.com/KR/en/product/aldrich/803200</t>
  </si>
  <si>
    <t>https://www.sigmaaldrich.com/KR/ko/sds/aldrich/803200</t>
  </si>
  <si>
    <t>C:\Users\Jeonghun Lee\.gemini\antigravity\scratch\chemical manager\sds\DTSSP (3,3′-dithiobis(sulfosuccinimidyl propionate)) (Aldrich, 803200).pdf</t>
  </si>
  <si>
    <t>307-34-6</t>
  </si>
  <si>
    <t>https://www.sigmaaldrich.com/KR/en/product/aldrich/359238</t>
  </si>
  <si>
    <t>https://www.sigmaaldrich.com/KR/ko/sds/aldrich/359238</t>
  </si>
  <si>
    <t>C:\Users\Jeonghun Lee\.gemini\antigravity\scratch\chemical manager\sds\Perfluorooctane (Aldrich, 359238).pdf</t>
  </si>
  <si>
    <t>2026-08-12</t>
  </si>
  <si>
    <t>Moisture Sensitive, Heat Sensitive</t>
  </si>
  <si>
    <t>https://www.tcichemicals.com/KR/en/documentSearch</t>
  </si>
  <si>
    <t>3-Bromopropionyl Chloride</t>
  </si>
  <si>
    <t>15486-96-1</t>
  </si>
  <si>
    <t>H314 : Causes severe skin burns and eye damage. H227 : Combustible liquid. H290 : May be corrosive to metals.</t>
  </si>
  <si>
    <t>https://www.tcichemicals.com/KR/en/p/B2065</t>
  </si>
  <si>
    <t>C:\Users\Jeonghun Lee\.gemini\antigravity\scratch\chemical manager\sds\3-Bromopropionyl Chloride (TCI, B2065).pdf</t>
  </si>
  <si>
    <t>https://www.thermofisher.com/order/catalog/product/704060F</t>
  </si>
  <si>
    <t>https://www.thermofisher.com/search/browse/results?term=704060F</t>
  </si>
  <si>
    <t>https://www.thermofisher.com/order/catalog/product/A10436</t>
  </si>
  <si>
    <t>https://documents.thermofisher.com/TFS-Assets/LSG/SDS/A10436_MTR-NALT_EN.pdf</t>
  </si>
  <si>
    <t>C:\Users\Jeonghun Lee\.gemini\antigravity\scratch\chemical manager\sds\Alexa Fluor™ 488 Hydrazide (ThermoFisher, A10436).pdf</t>
  </si>
  <si>
    <t>26-0456</t>
  </si>
  <si>
    <t>DMSO * 2</t>
  </si>
  <si>
    <t>Aldrich</t>
    <phoneticPr fontId="1" type="noConversion"/>
  </si>
  <si>
    <t>359238</t>
    <phoneticPr fontId="1" type="noConversion"/>
  </si>
  <si>
    <t>440140</t>
    <phoneticPr fontId="1" type="noConversion"/>
  </si>
  <si>
    <t>Aa</t>
    <phoneticPr fontId="1" type="noConversion"/>
  </si>
  <si>
    <t>1</t>
    <phoneticPr fontId="1" type="noConversion"/>
  </si>
  <si>
    <t>Fff</t>
    <phoneticPr fontId="1" type="noConversion"/>
  </si>
  <si>
    <t>2w5w</t>
    <phoneticPr fontId="1" type="noConversion"/>
  </si>
  <si>
    <t>Made By Nki</t>
    <phoneticPr fontId="1" type="noConversion"/>
  </si>
  <si>
    <t>131377</t>
    <phoneticPr fontId="1" type="noConversion"/>
  </si>
  <si>
    <t>3we3</t>
    <phoneticPr fontId="1" type="noConversion"/>
  </si>
  <si>
    <t>659452</t>
    <phoneticPr fontId="1" type="noConversion"/>
  </si>
  <si>
    <t>402788</t>
    <phoneticPr fontId="1" type="noConversion"/>
  </si>
  <si>
    <t>8.02361</t>
    <phoneticPr fontId="1" type="noConversion"/>
  </si>
  <si>
    <t>803200</t>
    <phoneticPr fontId="1" type="noConversion"/>
  </si>
  <si>
    <t>909270-10G</t>
    <phoneticPr fontId="1" type="noConversion"/>
  </si>
  <si>
    <t>ThermoFisher</t>
    <phoneticPr fontId="1" type="noConversion"/>
  </si>
  <si>
    <t>A10436</t>
    <phoneticPr fontId="1" type="noConversion"/>
  </si>
  <si>
    <t>704060F</t>
    <phoneticPr fontId="1" type="noConversion"/>
  </si>
  <si>
    <t>TCI</t>
    <phoneticPr fontId="1" type="noConversion"/>
  </si>
  <si>
    <t>c0119</t>
    <phoneticPr fontId="1" type="noConversion"/>
  </si>
  <si>
    <t>B2065</t>
    <phoneticPr fontId="1" type="noConversion"/>
  </si>
  <si>
    <t>26-0440</t>
  </si>
  <si>
    <t>7/2</t>
  </si>
  <si>
    <t>Amyloid β-peptide (1-42) human</t>
  </si>
  <si>
    <t>Aldrich</t>
    <phoneticPr fontId="1" type="noConversion"/>
  </si>
  <si>
    <t>440140</t>
    <phoneticPr fontId="1" type="noConversion"/>
  </si>
  <si>
    <t>(3-Aminopropyl)triethoxysilane</t>
    <phoneticPr fontId="1" type="noConversion"/>
  </si>
  <si>
    <t>919-30-2</t>
    <phoneticPr fontId="1" type="noConversion"/>
  </si>
  <si>
    <t>-</t>
    <phoneticPr fontId="1" type="noConversion"/>
  </si>
  <si>
    <t>● Danger</t>
    <phoneticPr fontId="1" type="noConversion"/>
  </si>
  <si>
    <t>▲ Corrosive / Eye Damage</t>
    <phoneticPr fontId="1" type="noConversion"/>
  </si>
  <si>
    <t>H314: Causes severe skin burns and eye damage / H317: May cause an allergic skin reaction / H302: Harmful if swallowed</t>
    <phoneticPr fontId="1" type="noConversion"/>
  </si>
  <si>
    <t>https://www.sigmaaldrich.com/KR/en/product/aldrich/440140</t>
    <phoneticPr fontId="1" type="noConversion"/>
  </si>
  <si>
    <t>https://www.sigmaaldrich.com/KR/ko/sds/aldrich/440140</t>
    <phoneticPr fontId="1" type="noConversion"/>
  </si>
  <si>
    <t>C:\Users\Jeonghun Lee\.gemini\antigravity\scratch\chemical manager\sds\(3-Aminopropyl)triethoxysilane (Aldrich, 440140).pdf</t>
    <phoneticPr fontId="1" type="noConversion"/>
  </si>
  <si>
    <t>1-Adamantanethiol</t>
    <phoneticPr fontId="1" type="noConversion"/>
  </si>
  <si>
    <t>34301-54-7</t>
    <phoneticPr fontId="1" type="noConversion"/>
  </si>
  <si>
    <t>RT</t>
    <phoneticPr fontId="1" type="noConversion"/>
  </si>
  <si>
    <t>▲ Warning</t>
    <phoneticPr fontId="1" type="noConversion"/>
  </si>
  <si>
    <t>● Toxic, ◆ Irritant / Sensitizer</t>
    <phoneticPr fontId="1" type="noConversion"/>
  </si>
  <si>
    <t>H319: Causes serious eye irritation / H301: Toxic if swallowed</t>
    <phoneticPr fontId="1" type="noConversion"/>
  </si>
  <si>
    <t>https://www.sigmaaldrich.com/KR/en/product/aldrich/659452</t>
    <phoneticPr fontId="1" type="noConversion"/>
  </si>
  <si>
    <t>https://www.sigmaaldrich.com/KR/ko/sds/aldrich/659452</t>
    <phoneticPr fontId="1" type="noConversion"/>
  </si>
  <si>
    <t>C:\Users\Jeonghun Lee\.gemini\antigravity\scratch\chemical manager\sds\1-Adamantanethiol (Aldrich, 659452).pdf</t>
    <phoneticPr fontId="1" type="noConversion"/>
  </si>
  <si>
    <t>TCI</t>
    <phoneticPr fontId="1" type="noConversion"/>
  </si>
  <si>
    <t>c0119</t>
    <phoneticPr fontId="1" type="noConversion"/>
  </si>
  <si>
    <t>1,1'-Carbonyldiimidazole</t>
    <phoneticPr fontId="1" type="noConversion"/>
  </si>
  <si>
    <t>530-62-1</t>
    <phoneticPr fontId="1" type="noConversion"/>
  </si>
  <si>
    <t>H302 : Harmful if swallowed. H314 : Causes severe skin burns and eye damage.</t>
    <phoneticPr fontId="1" type="noConversion"/>
  </si>
  <si>
    <t>Moisture, Heat</t>
    <phoneticPr fontId="1" type="noConversion"/>
  </si>
  <si>
    <t>https://www.tcichemicals.com/KR/en/p/c0119</t>
    <phoneticPr fontId="1" type="noConversion"/>
  </si>
  <si>
    <t>https://www.tcichemicals.com/KR/en/documentSearch</t>
    <phoneticPr fontId="1" type="noConversion"/>
  </si>
  <si>
    <t>C:\Users\Jeonghun Lee\.gemini\antigravity\scratch\chemical manager\sds\1,1'-Carbonyldiimidazole (TCI, c0119).pdf</t>
    <phoneticPr fontId="1" type="noConversion"/>
  </si>
  <si>
    <t>R</t>
    <phoneticPr fontId="1" type="noConversion"/>
  </si>
  <si>
    <t>TCI</t>
    <phoneticPr fontId="1" type="noConversion"/>
  </si>
  <si>
    <t>b4263</t>
    <phoneticPr fontId="1" type="noConversion"/>
  </si>
  <si>
    <t>Bis(2-hydroxyethyl) Disulfide</t>
    <phoneticPr fontId="1" type="noConversion"/>
  </si>
  <si>
    <t>1892-29-1</t>
    <phoneticPr fontId="1" type="noConversion"/>
  </si>
  <si>
    <t>RT</t>
    <phoneticPr fontId="1" type="noConversion"/>
  </si>
  <si>
    <t>● Danger</t>
    <phoneticPr fontId="1" type="noConversion"/>
  </si>
  <si>
    <t>● Toxic, ◆ Irritant / Sensitizer</t>
    <phoneticPr fontId="1" type="noConversion"/>
  </si>
  <si>
    <t>H301 : Toxic if swallowed. H315 : Causes skin irritation. H319 : Causes serious eye irritation.</t>
    <phoneticPr fontId="1" type="noConversion"/>
  </si>
  <si>
    <t>Air</t>
    <phoneticPr fontId="1" type="noConversion"/>
  </si>
  <si>
    <t>https://www.tcichemicals.com/KR/en/p/b4263</t>
    <phoneticPr fontId="1" type="noConversion"/>
  </si>
  <si>
    <t>https://www.tcichemicals.com/KR/en/documentSearch</t>
    <phoneticPr fontId="1" type="noConversion"/>
  </si>
  <si>
    <t>C:\Users\Jeonghun Lee\.gemini\antigravity\scratch\chemical manager\sds\Bis(2-hydroxyethyl) Disulfide (TCI, b4263).pdf</t>
    <phoneticPr fontId="1" type="noConversion"/>
  </si>
  <si>
    <t>26-0063</t>
  </si>
  <si>
    <t>26-0315</t>
  </si>
  <si>
    <t>2-HYDROXYETHYL DISULFIDE</t>
  </si>
  <si>
    <t>1,10-Phenanthroline</t>
    <phoneticPr fontId="1" type="noConversion"/>
  </si>
  <si>
    <t>66-71-7</t>
    <phoneticPr fontId="1" type="noConversion"/>
  </si>
  <si>
    <t>● Toxic, ■ Environmental Hazard</t>
    <phoneticPr fontId="1" type="noConversion"/>
  </si>
  <si>
    <t>H410: Very toxic to aquatic life with long lasting effects / H301: Toxic if swallowed</t>
    <phoneticPr fontId="1" type="noConversion"/>
  </si>
  <si>
    <t>https://www.sigmaaldrich.com/KR/en/product/aldrich/131377</t>
    <phoneticPr fontId="1" type="noConversion"/>
  </si>
  <si>
    <t>https://www.sigmaaldrich.com/KR/ko/sds/aldrich/131377</t>
    <phoneticPr fontId="1" type="noConversion"/>
  </si>
  <si>
    <t>C:\Users\Jeonghun Lee\.gemini\antigravity\scratch\chemical manager\sds\1,10-Phenanthroline (Aldrich, 131377).pdf</t>
    <phoneticPr fontId="1" type="noConversion"/>
  </si>
  <si>
    <t>Aldrich</t>
    <phoneticPr fontId="1" type="noConversion"/>
  </si>
  <si>
    <t>8.02361</t>
    <phoneticPr fontId="1" type="noConversion"/>
  </si>
  <si>
    <t>p-Chloranil</t>
    <phoneticPr fontId="1" type="noConversion"/>
  </si>
  <si>
    <t>118-75-2</t>
    <phoneticPr fontId="1" type="noConversion"/>
  </si>
  <si>
    <t>RT</t>
    <phoneticPr fontId="1" type="noConversion"/>
  </si>
  <si>
    <t>-</t>
    <phoneticPr fontId="1" type="noConversion"/>
  </si>
  <si>
    <t>▲ Warning</t>
    <phoneticPr fontId="1" type="noConversion"/>
  </si>
  <si>
    <t>● Toxic, ▲ Corrosive / Eye Damage, ◆ Irritant / Sensitizer, ■ Environmental Hazard</t>
    <phoneticPr fontId="1" type="noConversion"/>
  </si>
  <si>
    <t>H317: May cause an allergic skin reaction / H318: Causes serious eye damage / H410: Very toxic to aquatic life with long lasting effects / H315: Causes skin irritation</t>
    <phoneticPr fontId="1" type="noConversion"/>
  </si>
  <si>
    <t>https://www.sigmaaldrich.com/KR/en/product/mm/802361</t>
    <phoneticPr fontId="1" type="noConversion"/>
  </si>
  <si>
    <t>https://www.sigmaaldrich.com/KR/ko/sds/mm/8.02361</t>
    <phoneticPr fontId="1" type="noConversion"/>
  </si>
  <si>
    <t>C:\Users\Jeonghun Lee\.gemini\antigravity\scratch\chemical manager\sds\p-Chloranil (Aldrich, 8.02361).pdf</t>
    <phoneticPr fontId="1" type="noConversion"/>
  </si>
  <si>
    <r>
      <t xml:space="preserve">📖 </t>
    </r>
    <r>
      <rPr>
        <b/>
        <sz val="15"/>
        <color rgb="FFFFFFFF"/>
        <rFont val="맑은 고딕"/>
        <family val="2"/>
        <charset val="129"/>
      </rPr>
      <t>연구실</t>
    </r>
    <r>
      <rPr>
        <b/>
        <sz val="15"/>
        <color rgb="FFFFFFFF"/>
        <rFont val="Segoe UI"/>
        <family val="2"/>
      </rPr>
      <t xml:space="preserve"> </t>
    </r>
    <r>
      <rPr>
        <b/>
        <sz val="15"/>
        <color rgb="FFFFFFFF"/>
        <rFont val="맑은 고딕"/>
        <family val="2"/>
        <charset val="129"/>
      </rPr>
      <t>시약</t>
    </r>
    <r>
      <rPr>
        <b/>
        <sz val="15"/>
        <color rgb="FFFFFFFF"/>
        <rFont val="Segoe UI"/>
        <family val="2"/>
      </rPr>
      <t xml:space="preserve"> </t>
    </r>
    <r>
      <rPr>
        <b/>
        <sz val="15"/>
        <color rgb="FFFFFFFF"/>
        <rFont val="맑은 고딕"/>
        <family val="2"/>
        <charset val="129"/>
      </rPr>
      <t>및</t>
    </r>
    <r>
      <rPr>
        <b/>
        <sz val="15"/>
        <color rgb="FFFFFFFF"/>
        <rFont val="Segoe UI"/>
        <family val="2"/>
      </rPr>
      <t xml:space="preserve"> </t>
    </r>
    <r>
      <rPr>
        <b/>
        <sz val="15"/>
        <color rgb="FFFFFFFF"/>
        <rFont val="맑은 고딕"/>
        <family val="2"/>
        <charset val="129"/>
      </rPr>
      <t>주문</t>
    </r>
    <r>
      <rPr>
        <b/>
        <sz val="15"/>
        <color rgb="FFFFFFFF"/>
        <rFont val="Segoe UI"/>
        <family val="2"/>
      </rPr>
      <t xml:space="preserve"> </t>
    </r>
    <r>
      <rPr>
        <b/>
        <sz val="15"/>
        <color rgb="FFFFFFFF"/>
        <rFont val="맑은 고딕"/>
        <family val="2"/>
        <charset val="129"/>
      </rPr>
      <t>대장</t>
    </r>
    <r>
      <rPr>
        <b/>
        <sz val="15"/>
        <color rgb="FFFFFFFF"/>
        <rFont val="Segoe UI"/>
        <family val="2"/>
      </rPr>
      <t xml:space="preserve"> </t>
    </r>
    <r>
      <rPr>
        <b/>
        <sz val="15"/>
        <color rgb="FFFFFFFF"/>
        <rFont val="맑은 고딕"/>
        <family val="2"/>
        <charset val="129"/>
      </rPr>
      <t>엑셀</t>
    </r>
    <r>
      <rPr>
        <b/>
        <sz val="15"/>
        <color rgb="FFFFFFFF"/>
        <rFont val="Segoe UI"/>
        <family val="2"/>
      </rPr>
      <t xml:space="preserve"> </t>
    </r>
    <r>
      <rPr>
        <b/>
        <sz val="15"/>
        <color rgb="FFFFFFFF"/>
        <rFont val="맑은 고딕"/>
        <family val="2"/>
        <charset val="129"/>
      </rPr>
      <t>작성</t>
    </r>
    <r>
      <rPr>
        <b/>
        <sz val="15"/>
        <color rgb="FFFFFFFF"/>
        <rFont val="Segoe UI"/>
        <family val="2"/>
      </rPr>
      <t>·</t>
    </r>
    <r>
      <rPr>
        <b/>
        <sz val="15"/>
        <color rgb="FFFFFFFF"/>
        <rFont val="맑은 고딕"/>
        <family val="2"/>
        <charset val="129"/>
      </rPr>
      <t>사용</t>
    </r>
    <r>
      <rPr>
        <b/>
        <sz val="15"/>
        <color rgb="FFFFFFFF"/>
        <rFont val="Segoe UI"/>
        <family val="2"/>
      </rPr>
      <t xml:space="preserve"> </t>
    </r>
    <r>
      <rPr>
        <b/>
        <sz val="15"/>
        <color rgb="FFFFFFFF"/>
        <rFont val="맑은 고딕"/>
        <family val="2"/>
        <charset val="129"/>
      </rPr>
      <t>가이드</t>
    </r>
    <r>
      <rPr>
        <b/>
        <sz val="15"/>
        <color rgb="FFFFFFFF"/>
        <rFont val="Segoe UI"/>
        <family val="2"/>
      </rPr>
      <t xml:space="preserve"> (</t>
    </r>
    <r>
      <rPr>
        <b/>
        <sz val="15"/>
        <color rgb="FFFFFFFF"/>
        <rFont val="맑은 고딕"/>
        <family val="2"/>
        <charset val="129"/>
      </rPr>
      <t>일반</t>
    </r>
    <r>
      <rPr>
        <b/>
        <sz val="15"/>
        <color rgb="FFFFFFFF"/>
        <rFont val="Segoe UI"/>
        <family val="2"/>
      </rPr>
      <t xml:space="preserve"> </t>
    </r>
    <r>
      <rPr>
        <b/>
        <sz val="15"/>
        <color rgb="FFFFFFFF"/>
        <rFont val="맑은 고딕"/>
        <family val="2"/>
        <charset val="129"/>
      </rPr>
      <t>사용자용</t>
    </r>
    <r>
      <rPr>
        <b/>
        <sz val="15"/>
        <color rgb="FFFFFFFF"/>
        <rFont val="Segoe UI"/>
        <family val="2"/>
      </rPr>
      <t>)</t>
    </r>
  </si>
  <si>
    <r>
      <t>📝 1. Orderbook (</t>
    </r>
    <r>
      <rPr>
        <b/>
        <sz val="12"/>
        <color rgb="FFFFFFFF"/>
        <rFont val="맑은 고딕"/>
        <family val="2"/>
        <charset val="129"/>
      </rPr>
      <t>주문</t>
    </r>
    <r>
      <rPr>
        <b/>
        <sz val="12"/>
        <color rgb="FFFFFFFF"/>
        <rFont val="Segoe UI"/>
        <family val="2"/>
      </rPr>
      <t xml:space="preserve"> </t>
    </r>
    <r>
      <rPr>
        <b/>
        <sz val="12"/>
        <color rgb="FFFFFFFF"/>
        <rFont val="맑은 고딕"/>
        <family val="2"/>
        <charset val="129"/>
      </rPr>
      <t>대장</t>
    </r>
    <r>
      <rPr>
        <b/>
        <sz val="12"/>
        <color rgb="FFFFFFFF"/>
        <rFont val="Segoe UI"/>
        <family val="2"/>
      </rPr>
      <t xml:space="preserve">) </t>
    </r>
    <r>
      <rPr>
        <b/>
        <sz val="12"/>
        <color rgb="FFFFFFFF"/>
        <rFont val="맑은 고딕"/>
        <family val="2"/>
        <charset val="129"/>
      </rPr>
      <t>작성</t>
    </r>
    <r>
      <rPr>
        <b/>
        <sz val="12"/>
        <color rgb="FFFFFFFF"/>
        <rFont val="Segoe UI"/>
        <family val="2"/>
      </rPr>
      <t xml:space="preserve"> </t>
    </r>
    <r>
      <rPr>
        <b/>
        <sz val="12"/>
        <color rgb="FFFFFFFF"/>
        <rFont val="맑은 고딕"/>
        <family val="2"/>
        <charset val="129"/>
      </rPr>
      <t>방법</t>
    </r>
    <r>
      <rPr>
        <b/>
        <sz val="12"/>
        <color rgb="FFFFFFFF"/>
        <rFont val="Segoe UI"/>
        <family val="2"/>
      </rPr>
      <t xml:space="preserve"> </t>
    </r>
    <r>
      <rPr>
        <b/>
        <sz val="12"/>
        <color rgb="FFFFFFFF"/>
        <rFont val="맑은 고딕"/>
        <family val="2"/>
        <charset val="129"/>
      </rPr>
      <t>및</t>
    </r>
    <r>
      <rPr>
        <b/>
        <sz val="12"/>
        <color rgb="FFFFFFFF"/>
        <rFont val="Segoe UI"/>
        <family val="2"/>
      </rPr>
      <t xml:space="preserve"> </t>
    </r>
    <r>
      <rPr>
        <b/>
        <sz val="12"/>
        <color rgb="FFFFFFFF"/>
        <rFont val="맑은 고딕"/>
        <family val="2"/>
        <charset val="129"/>
      </rPr>
      <t>주의사항</t>
    </r>
  </si>
  <si>
    <r>
      <rPr>
        <sz val="10"/>
        <color theme="1"/>
        <rFont val="맑은 고딕"/>
        <family val="2"/>
        <charset val="129"/>
      </rPr>
      <t>연구실에서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새로운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시약을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구매</t>
    </r>
    <r>
      <rPr>
        <sz val="10"/>
        <color theme="1"/>
        <rFont val="Segoe UI"/>
        <family val="2"/>
      </rPr>
      <t>/</t>
    </r>
    <r>
      <rPr>
        <sz val="10"/>
        <color theme="1"/>
        <rFont val="맑은 고딕"/>
        <family val="2"/>
        <charset val="129"/>
      </rPr>
      <t>신청할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때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작성하는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주문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대장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입력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수칙입니다</t>
    </r>
    <r>
      <rPr>
        <sz val="10"/>
        <color theme="1"/>
        <rFont val="Segoe UI"/>
        <family val="2"/>
      </rPr>
      <t>.</t>
    </r>
  </si>
  <si>
    <r>
      <t xml:space="preserve">📌 Orderbook </t>
    </r>
    <r>
      <rPr>
        <b/>
        <sz val="11"/>
        <color rgb="FF1E40AF"/>
        <rFont val="맑은 고딕"/>
        <family val="2"/>
        <charset val="129"/>
      </rPr>
      <t>주요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항목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기입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규칙</t>
    </r>
  </si>
  <si>
    <t>No.</t>
  </si>
  <si>
    <r>
      <rPr>
        <b/>
        <sz val="10"/>
        <color rgb="FF1E3A8A"/>
        <rFont val="맑은 고딕"/>
        <family val="2"/>
        <charset val="129"/>
      </rPr>
      <t>항목명</t>
    </r>
  </si>
  <si>
    <r>
      <rPr>
        <b/>
        <sz val="10"/>
        <color rgb="FF1E3A8A"/>
        <rFont val="맑은 고딕"/>
        <family val="2"/>
        <charset val="129"/>
      </rPr>
      <t>기입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규칙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및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세부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설명</t>
    </r>
  </si>
  <si>
    <r>
      <rPr>
        <b/>
        <sz val="10"/>
        <color rgb="FF1E3A8A"/>
        <rFont val="맑은 고딕"/>
        <family val="2"/>
        <charset val="129"/>
      </rPr>
      <t>추천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표기법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및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예시</t>
    </r>
  </si>
  <si>
    <r>
      <rPr>
        <b/>
        <sz val="10"/>
        <color theme="1"/>
        <rFont val="맑은 고딕"/>
        <family val="2"/>
        <charset val="129"/>
      </rPr>
      <t>번호</t>
    </r>
    <r>
      <rPr>
        <b/>
        <sz val="10"/>
        <color theme="1"/>
        <rFont val="Segoe UI"/>
        <family val="2"/>
      </rPr>
      <t xml:space="preserve"> (</t>
    </r>
    <r>
      <rPr>
        <b/>
        <sz val="10"/>
        <color theme="1"/>
        <rFont val="맑은 고딕"/>
        <family val="2"/>
        <charset val="129"/>
      </rPr>
      <t>주문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번호</t>
    </r>
    <r>
      <rPr>
        <b/>
        <sz val="10"/>
        <color theme="1"/>
        <rFont val="Segoe UI"/>
        <family val="2"/>
      </rPr>
      <t>)</t>
    </r>
  </si>
  <si>
    <r>
      <rPr>
        <sz val="10"/>
        <color theme="1"/>
        <rFont val="맑은 고딕"/>
        <family val="2"/>
        <charset val="129"/>
      </rPr>
      <t>고유한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주문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식별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번호를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기입합니다</t>
    </r>
    <r>
      <rPr>
        <sz val="10"/>
        <color theme="1"/>
        <rFont val="Segoe UI"/>
        <family val="2"/>
      </rPr>
      <t>.</t>
    </r>
  </si>
  <si>
    <t>26-0001, 26-0063</t>
  </si>
  <si>
    <r>
      <rPr>
        <b/>
        <sz val="10"/>
        <color theme="1"/>
        <rFont val="맑은 고딕"/>
        <family val="2"/>
        <charset val="129"/>
      </rPr>
      <t>날짜</t>
    </r>
  </si>
  <si>
    <r>
      <rPr>
        <sz val="10"/>
        <color theme="1"/>
        <rFont val="맑은 고딕"/>
        <family val="2"/>
        <charset val="129"/>
      </rPr>
      <t>주문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일자를</t>
    </r>
    <r>
      <rPr>
        <sz val="10"/>
        <color theme="1"/>
        <rFont val="Segoe UI"/>
        <family val="2"/>
      </rPr>
      <t xml:space="preserve"> YYYY-MM-DD </t>
    </r>
    <r>
      <rPr>
        <sz val="10"/>
        <color theme="1"/>
        <rFont val="맑은 고딕"/>
        <family val="2"/>
        <charset val="129"/>
      </rPr>
      <t>형식으로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정확히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기입합니다</t>
    </r>
    <r>
      <rPr>
        <sz val="10"/>
        <color theme="1"/>
        <rFont val="Segoe UI"/>
        <family val="2"/>
      </rPr>
      <t>.</t>
    </r>
  </si>
  <si>
    <r>
      <rPr>
        <b/>
        <sz val="10"/>
        <color theme="1"/>
        <rFont val="맑은 고딕"/>
        <family val="2"/>
        <charset val="129"/>
      </rPr>
      <t>주문자</t>
    </r>
  </si>
  <si>
    <r>
      <rPr>
        <sz val="10"/>
        <color theme="1"/>
        <rFont val="맑은 고딕"/>
        <family val="2"/>
        <charset val="129"/>
      </rPr>
      <t>신청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연구원의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이름을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기입합니다</t>
    </r>
    <r>
      <rPr>
        <sz val="10"/>
        <color theme="1"/>
        <rFont val="Segoe UI"/>
        <family val="2"/>
      </rPr>
      <t>.</t>
    </r>
  </si>
  <si>
    <r>
      <rPr>
        <b/>
        <sz val="10"/>
        <color rgb="FF2585EB"/>
        <rFont val="맑은 고딕"/>
        <family val="2"/>
        <charset val="129"/>
      </rPr>
      <t>홍길동</t>
    </r>
  </si>
  <si>
    <r>
      <rPr>
        <b/>
        <sz val="10"/>
        <color theme="1"/>
        <rFont val="맑은 고딕"/>
        <family val="2"/>
        <charset val="129"/>
      </rPr>
      <t>회사</t>
    </r>
    <r>
      <rPr>
        <b/>
        <sz val="10"/>
        <color theme="1"/>
        <rFont val="Segoe UI"/>
        <family val="2"/>
      </rPr>
      <t xml:space="preserve"> (</t>
    </r>
    <r>
      <rPr>
        <b/>
        <sz val="10"/>
        <color theme="1"/>
        <rFont val="맑은 고딕"/>
        <family val="2"/>
        <charset val="129"/>
      </rPr>
      <t>제조사</t>
    </r>
    <r>
      <rPr>
        <b/>
        <sz val="10"/>
        <color theme="1"/>
        <rFont val="Segoe UI"/>
        <family val="2"/>
      </rPr>
      <t>)</t>
    </r>
  </si>
  <si>
    <r>
      <rPr>
        <sz val="10"/>
        <color theme="1"/>
        <rFont val="맑은 고딕"/>
        <family val="2"/>
        <charset val="129"/>
      </rPr>
      <t>공식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제조사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영문명을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정확히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입력합니다</t>
    </r>
    <r>
      <rPr>
        <sz val="10"/>
        <color theme="1"/>
        <rFont val="Segoe UI"/>
        <family val="2"/>
      </rPr>
      <t>.</t>
    </r>
  </si>
  <si>
    <t>Thermo Fisher, Sigma-Aldrich, TCI, Abcam</t>
  </si>
  <si>
    <r>
      <rPr>
        <b/>
        <sz val="10"/>
        <color theme="1"/>
        <rFont val="맑은 고딕"/>
        <family val="2"/>
        <charset val="129"/>
      </rPr>
      <t>품목명</t>
    </r>
    <r>
      <rPr>
        <b/>
        <sz val="10"/>
        <color theme="1"/>
        <rFont val="Segoe UI"/>
        <family val="2"/>
      </rPr>
      <t xml:space="preserve"> (</t>
    </r>
    <r>
      <rPr>
        <b/>
        <sz val="10"/>
        <color theme="1"/>
        <rFont val="맑은 고딕"/>
        <family val="2"/>
        <charset val="129"/>
      </rPr>
      <t>시약명</t>
    </r>
    <r>
      <rPr>
        <b/>
        <sz val="10"/>
        <color theme="1"/>
        <rFont val="Segoe UI"/>
        <family val="2"/>
      </rPr>
      <t>)</t>
    </r>
  </si>
  <si>
    <r>
      <rPr>
        <sz val="10"/>
        <color theme="1"/>
        <rFont val="맑은 고딕"/>
        <family val="2"/>
        <charset val="129"/>
      </rPr>
      <t>시약의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정확한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영문</t>
    </r>
    <r>
      <rPr>
        <sz val="10"/>
        <color theme="1"/>
        <rFont val="Segoe UI"/>
        <family val="2"/>
      </rPr>
      <t>/</t>
    </r>
    <r>
      <rPr>
        <sz val="10"/>
        <color theme="1"/>
        <rFont val="맑은 고딕"/>
        <family val="2"/>
        <charset val="129"/>
      </rPr>
      <t>국문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시약명을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기입합니다</t>
    </r>
    <r>
      <rPr>
        <sz val="10"/>
        <color theme="1"/>
        <rFont val="Segoe UI"/>
        <family val="2"/>
      </rPr>
      <t>.</t>
    </r>
  </si>
  <si>
    <t>Acetone, Sodium Chloride</t>
  </si>
  <si>
    <r>
      <rPr>
        <b/>
        <sz val="10"/>
        <color theme="1"/>
        <rFont val="맑은 고딕"/>
        <family val="2"/>
        <charset val="129"/>
      </rPr>
      <t>품번</t>
    </r>
    <r>
      <rPr>
        <b/>
        <sz val="10"/>
        <color theme="1"/>
        <rFont val="Segoe UI"/>
        <family val="2"/>
      </rPr>
      <t xml:space="preserve"> (Catalog No.)</t>
    </r>
  </si>
  <si>
    <r>
      <rPr>
        <sz val="10"/>
        <color theme="1"/>
        <rFont val="맑은 고딕"/>
        <family val="2"/>
        <charset val="129"/>
      </rPr>
      <t>제조사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공식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카탈로그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번호</t>
    </r>
    <r>
      <rPr>
        <sz val="10"/>
        <color theme="1"/>
        <rFont val="Segoe UI"/>
        <family val="2"/>
      </rPr>
      <t xml:space="preserve"> (</t>
    </r>
    <r>
      <rPr>
        <sz val="10"/>
        <color theme="1"/>
        <rFont val="맑은 고딕"/>
        <family val="2"/>
        <charset val="129"/>
      </rPr>
      <t>앞자리</t>
    </r>
    <r>
      <rPr>
        <sz val="10"/>
        <color theme="1"/>
        <rFont val="Segoe UI"/>
        <family val="2"/>
      </rPr>
      <t xml:space="preserve"> 0/</t>
    </r>
    <r>
      <rPr>
        <sz val="10"/>
        <color theme="1"/>
        <rFont val="맑은 고딕"/>
        <family val="2"/>
        <charset val="129"/>
      </rPr>
      <t>하이픈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누락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주의</t>
    </r>
    <r>
      <rPr>
        <sz val="10"/>
        <color theme="1"/>
        <rFont val="Segoe UI"/>
        <family val="2"/>
      </rPr>
      <t>)</t>
    </r>
  </si>
  <si>
    <t>659452, 131377</t>
  </si>
  <si>
    <r>
      <rPr>
        <b/>
        <sz val="10"/>
        <color theme="1"/>
        <rFont val="맑은 고딕"/>
        <family val="2"/>
        <charset val="129"/>
      </rPr>
      <t>용량</t>
    </r>
    <r>
      <rPr>
        <b/>
        <sz val="10"/>
        <color theme="1"/>
        <rFont val="Segoe UI"/>
        <family val="2"/>
      </rPr>
      <t xml:space="preserve"> (Package Size)</t>
    </r>
  </si>
  <si>
    <r>
      <rPr>
        <sz val="10"/>
        <color theme="1"/>
        <rFont val="맑은 고딕"/>
        <family val="2"/>
        <charset val="129"/>
      </rPr>
      <t>포장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용량을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단위와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함께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입력합니다</t>
    </r>
    <r>
      <rPr>
        <sz val="10"/>
        <color theme="1"/>
        <rFont val="Segoe UI"/>
        <family val="2"/>
      </rPr>
      <t>.</t>
    </r>
  </si>
  <si>
    <t>500 mL, 25 g, 1 L</t>
  </si>
  <si>
    <r>
      <rPr>
        <b/>
        <sz val="10"/>
        <color theme="1"/>
        <rFont val="맑은 고딕"/>
        <family val="2"/>
        <charset val="129"/>
      </rPr>
      <t>수량</t>
    </r>
    <r>
      <rPr>
        <b/>
        <sz val="10"/>
        <color theme="1"/>
        <rFont val="Segoe UI"/>
        <family val="2"/>
      </rPr>
      <t xml:space="preserve"> (Quantity)</t>
    </r>
  </si>
  <si>
    <r>
      <rPr>
        <sz val="10"/>
        <color theme="1"/>
        <rFont val="맑은 고딕"/>
        <family val="2"/>
        <charset val="129"/>
      </rPr>
      <t>주문한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수량을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숫자로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입력합니다</t>
    </r>
    <r>
      <rPr>
        <sz val="10"/>
        <color theme="1"/>
        <rFont val="Segoe UI"/>
        <family val="2"/>
      </rPr>
      <t>.</t>
    </r>
  </si>
  <si>
    <t>1, 2, 5</t>
  </si>
  <si>
    <r>
      <rPr>
        <b/>
        <sz val="10"/>
        <color theme="1"/>
        <rFont val="맑은 고딕"/>
        <family val="2"/>
        <charset val="129"/>
      </rPr>
      <t>수령확인</t>
    </r>
    <r>
      <rPr>
        <b/>
        <sz val="10"/>
        <color theme="1"/>
        <rFont val="Segoe UI"/>
        <family val="2"/>
      </rPr>
      <t xml:space="preserve"> (Status)</t>
    </r>
  </si>
  <si>
    <r>
      <rPr>
        <sz val="10"/>
        <color theme="1"/>
        <rFont val="맑은 고딕"/>
        <family val="2"/>
        <charset val="129"/>
      </rPr>
      <t>시약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수령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완료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시</t>
    </r>
    <r>
      <rPr>
        <sz val="10"/>
        <color theme="1"/>
        <rFont val="Segoe UI"/>
        <family val="2"/>
      </rPr>
      <t xml:space="preserve"> 'O' </t>
    </r>
    <r>
      <rPr>
        <sz val="10"/>
        <color theme="1"/>
        <rFont val="맑은 고딕"/>
        <family val="2"/>
        <charset val="129"/>
      </rPr>
      <t>또는</t>
    </r>
    <r>
      <rPr>
        <sz val="10"/>
        <color theme="1"/>
        <rFont val="Segoe UI"/>
        <family val="2"/>
      </rPr>
      <t xml:space="preserve"> '</t>
    </r>
    <r>
      <rPr>
        <sz val="10"/>
        <color theme="1"/>
        <rFont val="맑은 고딕"/>
        <family val="2"/>
        <charset val="129"/>
      </rPr>
      <t>ㅇ</t>
    </r>
    <r>
      <rPr>
        <sz val="10"/>
        <color theme="1"/>
        <rFont val="Segoe UI"/>
        <family val="2"/>
      </rPr>
      <t>'</t>
    </r>
    <r>
      <rPr>
        <sz val="10"/>
        <color theme="1"/>
        <rFont val="맑은 고딕"/>
        <family val="2"/>
        <charset val="129"/>
      </rPr>
      <t>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기입합니다</t>
    </r>
    <r>
      <rPr>
        <sz val="10"/>
        <color theme="1"/>
        <rFont val="Segoe UI"/>
        <family val="2"/>
      </rPr>
      <t>. (</t>
    </r>
    <r>
      <rPr>
        <sz val="10"/>
        <color theme="1"/>
        <rFont val="맑은 고딕"/>
        <family val="2"/>
        <charset val="129"/>
      </rPr>
      <t>미입력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현황판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제외</t>
    </r>
    <r>
      <rPr>
        <sz val="10"/>
        <color theme="1"/>
        <rFont val="Segoe UI"/>
        <family val="2"/>
      </rPr>
      <t>)</t>
    </r>
  </si>
  <si>
    <t>O</t>
  </si>
  <si>
    <r>
      <t xml:space="preserve">⚠️ Orderbook </t>
    </r>
    <r>
      <rPr>
        <b/>
        <sz val="11"/>
        <color rgb="FF1E40AF"/>
        <rFont val="맑은 고딕"/>
        <family val="2"/>
        <charset val="129"/>
      </rPr>
      <t>작성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시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절대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금지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및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주의사항</t>
    </r>
  </si>
  <si>
    <r>
      <t xml:space="preserve">❌ </t>
    </r>
    <r>
      <rPr>
        <sz val="10"/>
        <color rgb="FF991D1B"/>
        <rFont val="맑은 고딕"/>
        <family val="2"/>
        <charset val="129"/>
      </rPr>
      <t>중간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빈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줄</t>
    </r>
    <r>
      <rPr>
        <sz val="10"/>
        <color rgb="FF991D1B"/>
        <rFont val="Segoe UI"/>
        <family val="2"/>
      </rPr>
      <t xml:space="preserve">(Blank Row) </t>
    </r>
    <r>
      <rPr>
        <sz val="10"/>
        <color rgb="FF991D1B"/>
        <rFont val="맑은 고딕"/>
        <family val="2"/>
        <charset val="129"/>
      </rPr>
      <t>금지</t>
    </r>
    <r>
      <rPr>
        <sz val="10"/>
        <color rgb="FF991D1B"/>
        <rFont val="Segoe UI"/>
        <family val="2"/>
      </rPr>
      <t xml:space="preserve">: </t>
    </r>
    <r>
      <rPr>
        <sz val="10"/>
        <color rgb="FF991D1B"/>
        <rFont val="맑은 고딕"/>
        <family val="2"/>
        <charset val="129"/>
      </rPr>
      <t>데이터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행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사이에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완전히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비어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있는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줄을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남겨두지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마세요</t>
    </r>
    <r>
      <rPr>
        <sz val="10"/>
        <color rgb="FF991D1B"/>
        <rFont val="Segoe UI"/>
        <family val="2"/>
      </rPr>
      <t xml:space="preserve">. </t>
    </r>
    <r>
      <rPr>
        <sz val="10"/>
        <color rgb="FF991D1B"/>
        <rFont val="맑은 고딕"/>
        <family val="2"/>
        <charset val="129"/>
      </rPr>
      <t>프로그램이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데이터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읽기를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중간에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중단할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수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있습니다</t>
    </r>
    <r>
      <rPr>
        <sz val="10"/>
        <color rgb="FF991D1B"/>
        <rFont val="Segoe UI"/>
        <family val="2"/>
      </rPr>
      <t>.</t>
    </r>
  </si>
  <si>
    <r>
      <t xml:space="preserve">❌ </t>
    </r>
    <r>
      <rPr>
        <sz val="10"/>
        <color rgb="FF991D1B"/>
        <rFont val="맑은 고딕"/>
        <family val="2"/>
        <charset val="129"/>
      </rPr>
      <t>제조사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및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품번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오탈자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주의</t>
    </r>
    <r>
      <rPr>
        <sz val="10"/>
        <color rgb="FF991D1B"/>
        <rFont val="Segoe UI"/>
        <family val="2"/>
      </rPr>
      <t xml:space="preserve">: </t>
    </r>
    <r>
      <rPr>
        <sz val="10"/>
        <color rgb="FF991D1B"/>
        <rFont val="맑은 고딕"/>
        <family val="2"/>
        <charset val="129"/>
      </rPr>
      <t>제조사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이름이나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카탈로그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번호에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띄어쓰기</t>
    </r>
    <r>
      <rPr>
        <sz val="10"/>
        <color rgb="FF991D1B"/>
        <rFont val="Segoe UI"/>
        <family val="2"/>
      </rPr>
      <t>/</t>
    </r>
    <r>
      <rPr>
        <sz val="10"/>
        <color rgb="FF991D1B"/>
        <rFont val="맑은 고딕"/>
        <family val="2"/>
        <charset val="129"/>
      </rPr>
      <t>오탈자가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있으면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홈페이지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크롤링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검색에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실패할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수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있습니다</t>
    </r>
    <r>
      <rPr>
        <sz val="10"/>
        <color rgb="FF991D1B"/>
        <rFont val="Segoe UI"/>
        <family val="2"/>
      </rPr>
      <t>.</t>
    </r>
  </si>
  <si>
    <r>
      <t>🧪 2. ChemicalList.xlsx (</t>
    </r>
    <r>
      <rPr>
        <b/>
        <sz val="12"/>
        <color rgb="FFFFFFFF"/>
        <rFont val="맑은 고딕"/>
        <family val="2"/>
        <charset val="129"/>
      </rPr>
      <t>시약</t>
    </r>
    <r>
      <rPr>
        <b/>
        <sz val="12"/>
        <color rgb="FFFFFFFF"/>
        <rFont val="Segoe UI"/>
        <family val="2"/>
      </rPr>
      <t xml:space="preserve"> </t>
    </r>
    <r>
      <rPr>
        <b/>
        <sz val="12"/>
        <color rgb="FFFFFFFF"/>
        <rFont val="맑은 고딕"/>
        <family val="2"/>
        <charset val="129"/>
      </rPr>
      <t>현황</t>
    </r>
    <r>
      <rPr>
        <b/>
        <sz val="12"/>
        <color rgb="FFFFFFFF"/>
        <rFont val="Segoe UI"/>
        <family val="2"/>
      </rPr>
      <t xml:space="preserve"> </t>
    </r>
    <r>
      <rPr>
        <b/>
        <sz val="12"/>
        <color rgb="FFFFFFFF"/>
        <rFont val="맑은 고딕"/>
        <family val="2"/>
        <charset val="129"/>
      </rPr>
      <t>관리판</t>
    </r>
    <r>
      <rPr>
        <b/>
        <sz val="12"/>
        <color rgb="FFFFFFFF"/>
        <rFont val="Segoe UI"/>
        <family val="2"/>
      </rPr>
      <t xml:space="preserve">) </t>
    </r>
    <r>
      <rPr>
        <b/>
        <sz val="12"/>
        <color rgb="FFFFFFFF"/>
        <rFont val="맑은 고딕"/>
        <family val="2"/>
        <charset val="129"/>
      </rPr>
      <t>사용</t>
    </r>
    <r>
      <rPr>
        <b/>
        <sz val="12"/>
        <color rgb="FFFFFFFF"/>
        <rFont val="Segoe UI"/>
        <family val="2"/>
      </rPr>
      <t xml:space="preserve"> </t>
    </r>
    <r>
      <rPr>
        <b/>
        <sz val="12"/>
        <color rgb="FFFFFFFF"/>
        <rFont val="맑은 고딕"/>
        <family val="2"/>
        <charset val="129"/>
      </rPr>
      <t>가이드</t>
    </r>
  </si>
  <si>
    <r>
      <t xml:space="preserve">📌 </t>
    </r>
    <r>
      <rPr>
        <b/>
        <sz val="11"/>
        <color rgb="FF1E40AF"/>
        <rFont val="맑은 고딕"/>
        <family val="2"/>
        <charset val="129"/>
      </rPr>
      <t>시트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구성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및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역할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설명</t>
    </r>
  </si>
  <si>
    <r>
      <rPr>
        <b/>
        <sz val="10"/>
        <color rgb="FF1E3A8A"/>
        <rFont val="맑은 고딕"/>
        <family val="2"/>
        <charset val="129"/>
      </rPr>
      <t>시트명</t>
    </r>
  </si>
  <si>
    <r>
      <rPr>
        <b/>
        <sz val="10"/>
        <color rgb="FF1E3A8A"/>
        <rFont val="맑은 고딕"/>
        <family val="2"/>
        <charset val="129"/>
      </rPr>
      <t>구분</t>
    </r>
  </si>
  <si>
    <r>
      <rPr>
        <b/>
        <sz val="10"/>
        <color rgb="FF1E3A8A"/>
        <rFont val="맑은 고딕"/>
        <family val="2"/>
        <charset val="129"/>
      </rPr>
      <t>역할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및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설명</t>
    </r>
  </si>
  <si>
    <r>
      <rPr>
        <b/>
        <sz val="10"/>
        <color rgb="FF1E3A8A"/>
        <rFont val="맑은 고딕"/>
        <family val="2"/>
        <charset val="129"/>
      </rPr>
      <t>비고</t>
    </r>
  </si>
  <si>
    <t>ChemicalList</t>
  </si>
  <si>
    <r>
      <rPr>
        <b/>
        <sz val="10"/>
        <color theme="1"/>
        <rFont val="맑은 고딕"/>
        <family val="2"/>
        <charset val="129"/>
      </rPr>
      <t>메인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현황판</t>
    </r>
  </si>
  <si>
    <r>
      <rPr>
        <sz val="10"/>
        <color theme="1"/>
        <rFont val="맑은 고딕"/>
        <family val="2"/>
        <charset val="129"/>
      </rPr>
      <t>연구원이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직접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보관장소</t>
    </r>
    <r>
      <rPr>
        <sz val="10"/>
        <color theme="1"/>
        <rFont val="Segoe UI"/>
        <family val="2"/>
      </rPr>
      <t xml:space="preserve">, </t>
    </r>
    <r>
      <rPr>
        <sz val="10"/>
        <color theme="1"/>
        <rFont val="맑은 고딕"/>
        <family val="2"/>
        <charset val="129"/>
      </rPr>
      <t>캐비넷</t>
    </r>
    <r>
      <rPr>
        <sz val="10"/>
        <color theme="1"/>
        <rFont val="Segoe UI"/>
        <family val="2"/>
      </rPr>
      <t xml:space="preserve">, </t>
    </r>
    <r>
      <rPr>
        <sz val="10"/>
        <color theme="1"/>
        <rFont val="맑은 고딕"/>
        <family val="2"/>
        <charset val="129"/>
      </rPr>
      <t>사용수량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등을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기입하고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확인하는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화면</t>
    </r>
  </si>
  <si>
    <r>
      <rPr>
        <sz val="10"/>
        <color theme="1"/>
        <rFont val="맑은 고딕"/>
        <family val="2"/>
        <charset val="129"/>
      </rPr>
      <t>연구원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직접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입력</t>
    </r>
  </si>
  <si>
    <t>DB</t>
  </si>
  <si>
    <r>
      <rPr>
        <b/>
        <sz val="10"/>
        <color theme="1"/>
        <rFont val="맑은 고딕"/>
        <family val="2"/>
        <charset val="129"/>
      </rPr>
      <t>마스터</t>
    </r>
    <r>
      <rPr>
        <b/>
        <sz val="10"/>
        <color theme="1"/>
        <rFont val="Segoe UI"/>
        <family val="2"/>
      </rPr>
      <t xml:space="preserve"> DB</t>
    </r>
  </si>
  <si>
    <r>
      <rPr>
        <sz val="10"/>
        <color theme="1"/>
        <rFont val="맑은 고딕"/>
        <family val="2"/>
        <charset val="129"/>
      </rPr>
      <t>크롤링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및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수집된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화학물질의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위험성</t>
    </r>
    <r>
      <rPr>
        <sz val="10"/>
        <color theme="1"/>
        <rFont val="Segoe UI"/>
        <family val="2"/>
      </rPr>
      <t xml:space="preserve">, CAS No., </t>
    </r>
    <r>
      <rPr>
        <sz val="10"/>
        <color theme="1"/>
        <rFont val="맑은 고딕"/>
        <family val="2"/>
        <charset val="129"/>
      </rPr>
      <t>보관온도</t>
    </r>
    <r>
      <rPr>
        <sz val="10"/>
        <color theme="1"/>
        <rFont val="Segoe UI"/>
        <family val="2"/>
      </rPr>
      <t xml:space="preserve">, SDS </t>
    </r>
    <r>
      <rPr>
        <sz val="10"/>
        <color theme="1"/>
        <rFont val="맑은 고딕"/>
        <family val="2"/>
        <charset val="129"/>
      </rPr>
      <t>링크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저장</t>
    </r>
  </si>
  <si>
    <r>
      <rPr>
        <sz val="10"/>
        <color theme="1"/>
        <rFont val="맑은 고딕"/>
        <family val="2"/>
        <charset val="129"/>
      </rPr>
      <t>자동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관리</t>
    </r>
    <r>
      <rPr>
        <sz val="10"/>
        <color theme="1"/>
        <rFont val="Segoe UI"/>
        <family val="2"/>
      </rPr>
      <t xml:space="preserve"> (</t>
    </r>
    <r>
      <rPr>
        <sz val="10"/>
        <color theme="1"/>
        <rFont val="맑은 고딕"/>
        <family val="2"/>
        <charset val="129"/>
      </rPr>
      <t>직접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수정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주의</t>
    </r>
    <r>
      <rPr>
        <sz val="10"/>
        <color theme="1"/>
        <rFont val="Segoe UI"/>
        <family val="2"/>
      </rPr>
      <t>)</t>
    </r>
  </si>
  <si>
    <t>Guide</t>
  </si>
  <si>
    <r>
      <rPr>
        <b/>
        <sz val="10"/>
        <color theme="1"/>
        <rFont val="맑은 고딕"/>
        <family val="2"/>
        <charset val="129"/>
      </rPr>
      <t>사용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가이드</t>
    </r>
  </si>
  <si>
    <r>
      <rPr>
        <sz val="10"/>
        <color theme="1"/>
        <rFont val="맑은 고딕"/>
        <family val="2"/>
        <charset val="129"/>
      </rPr>
      <t>연구실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구성원이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엑셀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및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자동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동기화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프로그램을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사용할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때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참고하는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수칙</t>
    </r>
  </si>
  <si>
    <r>
      <rPr>
        <sz val="10"/>
        <color theme="1"/>
        <rFont val="맑은 고딕"/>
        <family val="2"/>
        <charset val="129"/>
      </rPr>
      <t>안내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전용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시트</t>
    </r>
  </si>
  <si>
    <r>
      <t xml:space="preserve">✍️ </t>
    </r>
    <r>
      <rPr>
        <b/>
        <sz val="11"/>
        <color rgb="FF1E40AF"/>
        <rFont val="맑은 고딕"/>
        <family val="2"/>
        <charset val="129"/>
      </rPr>
      <t>연구원이</t>
    </r>
    <r>
      <rPr>
        <b/>
        <sz val="11"/>
        <color rgb="FF1E40AF"/>
        <rFont val="Segoe UI"/>
        <family val="2"/>
      </rPr>
      <t xml:space="preserve"> ChemicalList </t>
    </r>
    <r>
      <rPr>
        <b/>
        <sz val="11"/>
        <color rgb="FF1E40AF"/>
        <rFont val="맑은 고딕"/>
        <family val="2"/>
        <charset val="129"/>
      </rPr>
      <t>시트에서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직접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기입</t>
    </r>
    <r>
      <rPr>
        <b/>
        <sz val="11"/>
        <color rgb="FF1E40AF"/>
        <rFont val="Segoe UI"/>
        <family val="2"/>
      </rPr>
      <t>/</t>
    </r>
    <r>
      <rPr>
        <b/>
        <sz val="11"/>
        <color rgb="FF1E40AF"/>
        <rFont val="맑은 고딕"/>
        <family val="2"/>
        <charset val="129"/>
      </rPr>
      <t>수정하는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항목</t>
    </r>
  </si>
  <si>
    <r>
      <rPr>
        <b/>
        <sz val="10"/>
        <color rgb="FF1E3A8A"/>
        <rFont val="맑은 고딕"/>
        <family val="2"/>
        <charset val="129"/>
      </rPr>
      <t>필드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구분</t>
    </r>
  </si>
  <si>
    <r>
      <rPr>
        <b/>
        <sz val="10"/>
        <color rgb="FF1E3A8A"/>
        <rFont val="맑은 고딕"/>
        <family val="2"/>
        <charset val="129"/>
      </rPr>
      <t>입력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수칙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및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방법</t>
    </r>
  </si>
  <si>
    <r>
      <rPr>
        <b/>
        <sz val="10"/>
        <color rgb="FF1E3A8A"/>
        <rFont val="맑은 고딕"/>
        <family val="2"/>
        <charset val="129"/>
      </rPr>
      <t>입력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예시</t>
    </r>
  </si>
  <si>
    <r>
      <t>Room (</t>
    </r>
    <r>
      <rPr>
        <b/>
        <sz val="10"/>
        <color theme="1"/>
        <rFont val="맑은 고딕"/>
        <family val="2"/>
        <charset val="129"/>
      </rPr>
      <t>보관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장소</t>
    </r>
    <r>
      <rPr>
        <b/>
        <sz val="10"/>
        <color theme="1"/>
        <rFont val="Segoe UI"/>
        <family val="2"/>
      </rPr>
      <t>)</t>
    </r>
  </si>
  <si>
    <r>
      <rPr>
        <b/>
        <sz val="10"/>
        <color theme="1"/>
        <rFont val="맑은 고딕"/>
        <family val="2"/>
        <charset val="129"/>
      </rPr>
      <t>입력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항목</t>
    </r>
  </si>
  <si>
    <r>
      <rPr>
        <sz val="10"/>
        <color theme="1"/>
        <rFont val="맑은 고딕"/>
        <family val="2"/>
        <charset val="129"/>
      </rPr>
      <t>시약이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비치된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연구실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방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번호를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기입합니다</t>
    </r>
    <r>
      <rPr>
        <sz val="10"/>
        <color theme="1"/>
        <rFont val="Segoe UI"/>
        <family val="2"/>
      </rPr>
      <t>.</t>
    </r>
  </si>
  <si>
    <r>
      <t>501</t>
    </r>
    <r>
      <rPr>
        <b/>
        <sz val="10"/>
        <color rgb="FF2585EB"/>
        <rFont val="맑은 고딕"/>
        <family val="2"/>
        <charset val="129"/>
      </rPr>
      <t>호</t>
    </r>
    <r>
      <rPr>
        <b/>
        <sz val="10"/>
        <color rgb="FF2585EB"/>
        <rFont val="Consolas"/>
        <family val="3"/>
      </rPr>
      <t>, 502</t>
    </r>
    <r>
      <rPr>
        <b/>
        <sz val="10"/>
        <color rgb="FF2585EB"/>
        <rFont val="맑은 고딕"/>
        <family val="2"/>
        <charset val="129"/>
      </rPr>
      <t>호</t>
    </r>
  </si>
  <si>
    <r>
      <t>Cabinet (</t>
    </r>
    <r>
      <rPr>
        <b/>
        <sz val="10"/>
        <color theme="1"/>
        <rFont val="맑은 고딕"/>
        <family val="2"/>
        <charset val="129"/>
      </rPr>
      <t>캐비넷</t>
    </r>
    <r>
      <rPr>
        <b/>
        <sz val="10"/>
        <color theme="1"/>
        <rFont val="Segoe UI"/>
        <family val="2"/>
      </rPr>
      <t>)</t>
    </r>
  </si>
  <si>
    <r>
      <t xml:space="preserve">Room </t>
    </r>
    <r>
      <rPr>
        <sz val="10"/>
        <color theme="1"/>
        <rFont val="맑은 고딕"/>
        <family val="2"/>
        <charset val="129"/>
      </rPr>
      <t>및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보관온도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조건에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맞춘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시약장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번호를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입력합니다</t>
    </r>
    <r>
      <rPr>
        <sz val="10"/>
        <color theme="1"/>
        <rFont val="Segoe UI"/>
        <family val="2"/>
      </rPr>
      <t>.</t>
    </r>
  </si>
  <si>
    <t>A-1, B-2</t>
  </si>
  <si>
    <r>
      <t>Used (</t>
    </r>
    <r>
      <rPr>
        <b/>
        <sz val="10"/>
        <color theme="1"/>
        <rFont val="맑은 고딕"/>
        <family val="2"/>
        <charset val="129"/>
      </rPr>
      <t>사용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수량</t>
    </r>
    <r>
      <rPr>
        <b/>
        <sz val="10"/>
        <color theme="1"/>
        <rFont val="Segoe UI"/>
        <family val="2"/>
      </rPr>
      <t>)</t>
    </r>
  </si>
  <si>
    <t>1, 2</t>
  </si>
  <si>
    <r>
      <t>Remarks (</t>
    </r>
    <r>
      <rPr>
        <b/>
        <sz val="10"/>
        <color theme="1"/>
        <rFont val="맑은 고딕"/>
        <family val="2"/>
        <charset val="129"/>
      </rPr>
      <t>비고</t>
    </r>
    <r>
      <rPr>
        <b/>
        <sz val="10"/>
        <color theme="1"/>
        <rFont val="Segoe UI"/>
        <family val="2"/>
      </rPr>
      <t>)</t>
    </r>
  </si>
  <si>
    <r>
      <rPr>
        <sz val="10"/>
        <color theme="1"/>
        <rFont val="맑은 고딕"/>
        <family val="2"/>
        <charset val="129"/>
      </rPr>
      <t>개봉일자</t>
    </r>
    <r>
      <rPr>
        <sz val="10"/>
        <color theme="1"/>
        <rFont val="Segoe UI"/>
        <family val="2"/>
      </rPr>
      <t xml:space="preserve">, </t>
    </r>
    <r>
      <rPr>
        <sz val="10"/>
        <color theme="1"/>
        <rFont val="맑은 고딕"/>
        <family val="2"/>
        <charset val="129"/>
      </rPr>
      <t>특이사항</t>
    </r>
    <r>
      <rPr>
        <sz val="10"/>
        <color theme="1"/>
        <rFont val="Segoe UI"/>
        <family val="2"/>
      </rPr>
      <t xml:space="preserve">, </t>
    </r>
    <r>
      <rPr>
        <sz val="10"/>
        <color theme="1"/>
        <rFont val="맑은 고딕"/>
        <family val="2"/>
        <charset val="129"/>
      </rPr>
      <t>사용자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메모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등을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자유롭게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기입합니다</t>
    </r>
    <r>
      <rPr>
        <sz val="10"/>
        <color theme="1"/>
        <rFont val="Segoe UI"/>
        <family val="2"/>
      </rPr>
      <t>.</t>
    </r>
  </si>
  <si>
    <r>
      <t xml:space="preserve">2026-08-10 </t>
    </r>
    <r>
      <rPr>
        <b/>
        <sz val="10"/>
        <color rgb="FF2585EB"/>
        <rFont val="맑은 고딕"/>
        <family val="2"/>
        <charset val="129"/>
      </rPr>
      <t>개봉</t>
    </r>
  </si>
  <si>
    <r>
      <t xml:space="preserve">⚠️ ChemicalList.xlsx </t>
    </r>
    <r>
      <rPr>
        <b/>
        <sz val="11"/>
        <color rgb="FF1E40AF"/>
        <rFont val="맑은 고딕"/>
        <family val="2"/>
        <charset val="129"/>
      </rPr>
      <t>작성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시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절대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주의사항</t>
    </r>
  </si>
  <si>
    <r>
      <t xml:space="preserve">❌ </t>
    </r>
    <r>
      <rPr>
        <sz val="10"/>
        <color rgb="FF991D1B"/>
        <rFont val="맑은 고딕"/>
        <family val="2"/>
        <charset val="129"/>
      </rPr>
      <t>수식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셀</t>
    </r>
    <r>
      <rPr>
        <sz val="10"/>
        <color rgb="FF991D1B"/>
        <rFont val="Segoe UI"/>
        <family val="2"/>
      </rPr>
      <t xml:space="preserve"> (VLOOKUP) </t>
    </r>
    <r>
      <rPr>
        <sz val="10"/>
        <color rgb="FF991D1B"/>
        <rFont val="맑은 고딕"/>
        <family val="2"/>
        <charset val="129"/>
      </rPr>
      <t>직접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삭제</t>
    </r>
    <r>
      <rPr>
        <sz val="10"/>
        <color rgb="FF991D1B"/>
        <rFont val="Segoe UI"/>
        <family val="2"/>
      </rPr>
      <t>/</t>
    </r>
    <r>
      <rPr>
        <sz val="10"/>
        <color rgb="FF991D1B"/>
        <rFont val="맑은 고딕"/>
        <family val="2"/>
        <charset val="129"/>
      </rPr>
      <t>수정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금지</t>
    </r>
    <r>
      <rPr>
        <sz val="10"/>
        <color rgb="FF991D1B"/>
        <rFont val="Segoe UI"/>
        <family val="2"/>
      </rPr>
      <t xml:space="preserve">: Storage Temp., CAS No., Sensitivity, Signal Word </t>
    </r>
    <r>
      <rPr>
        <sz val="10"/>
        <color rgb="FF991D1B"/>
        <rFont val="맑은 고딕"/>
        <family val="2"/>
        <charset val="129"/>
      </rPr>
      <t>등은</t>
    </r>
    <r>
      <rPr>
        <sz val="10"/>
        <color rgb="FF991D1B"/>
        <rFont val="Segoe UI"/>
        <family val="2"/>
      </rPr>
      <t xml:space="preserve"> DB </t>
    </r>
    <r>
      <rPr>
        <sz val="10"/>
        <color rgb="FF991D1B"/>
        <rFont val="맑은 고딕"/>
        <family val="2"/>
        <charset val="129"/>
      </rPr>
      <t>시트와</t>
    </r>
    <r>
      <rPr>
        <sz val="10"/>
        <color rgb="FF991D1B"/>
        <rFont val="Segoe UI"/>
        <family val="2"/>
      </rPr>
      <t xml:space="preserve"> =IFERROR(VLOOKUP(...)) </t>
    </r>
    <r>
      <rPr>
        <sz val="10"/>
        <color rgb="FF991D1B"/>
        <rFont val="맑은 고딕"/>
        <family val="2"/>
        <charset val="129"/>
      </rPr>
      <t>수식으로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자동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연동되어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있습니다</t>
    </r>
    <r>
      <rPr>
        <sz val="10"/>
        <color rgb="FF991D1B"/>
        <rFont val="Segoe UI"/>
        <family val="2"/>
      </rPr>
      <t xml:space="preserve">. </t>
    </r>
    <r>
      <rPr>
        <sz val="10"/>
        <color rgb="FF991D1B"/>
        <rFont val="맑은 고딕"/>
        <family val="2"/>
        <charset val="129"/>
      </rPr>
      <t>보관온도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변경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시</t>
    </r>
    <r>
      <rPr>
        <sz val="10"/>
        <color rgb="FF991D1B"/>
        <rFont val="Segoe UI"/>
        <family val="2"/>
      </rPr>
      <t xml:space="preserve"> DB </t>
    </r>
    <r>
      <rPr>
        <sz val="10"/>
        <color rgb="FF991D1B"/>
        <rFont val="맑은 고딕"/>
        <family val="2"/>
        <charset val="129"/>
      </rPr>
      <t>시트에서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해당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시약의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보관온도를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수정하세요</t>
    </r>
    <r>
      <rPr>
        <sz val="10"/>
        <color rgb="FF991D1B"/>
        <rFont val="Segoe UI"/>
        <family val="2"/>
      </rPr>
      <t>.</t>
    </r>
  </si>
  <si>
    <r>
      <t xml:space="preserve">❌ DB </t>
    </r>
    <r>
      <rPr>
        <sz val="10"/>
        <color rgb="FF991D1B"/>
        <rFont val="맑은 고딕"/>
        <family val="2"/>
        <charset val="129"/>
      </rPr>
      <t>시트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행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삭제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금지</t>
    </r>
    <r>
      <rPr>
        <sz val="10"/>
        <color rgb="FF991D1B"/>
        <rFont val="Segoe UI"/>
        <family val="2"/>
      </rPr>
      <t xml:space="preserve">: DB </t>
    </r>
    <r>
      <rPr>
        <sz val="10"/>
        <color rgb="FF991D1B"/>
        <rFont val="맑은 고딕"/>
        <family val="2"/>
        <charset val="129"/>
      </rPr>
      <t>시트의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행을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삭제하면</t>
    </r>
    <r>
      <rPr>
        <sz val="10"/>
        <color rgb="FF991D1B"/>
        <rFont val="Segoe UI"/>
        <family val="2"/>
      </rPr>
      <t xml:space="preserve"> ChemicalList </t>
    </r>
    <r>
      <rPr>
        <sz val="10"/>
        <color rgb="FF991D1B"/>
        <rFont val="맑은 고딕"/>
        <family val="2"/>
        <charset val="129"/>
      </rPr>
      <t>시트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수식에</t>
    </r>
    <r>
      <rPr>
        <sz val="10"/>
        <color rgb="FF991D1B"/>
        <rFont val="Segoe UI"/>
        <family val="2"/>
      </rPr>
      <t xml:space="preserve"> #REF! </t>
    </r>
    <r>
      <rPr>
        <sz val="10"/>
        <color rgb="FF991D1B"/>
        <rFont val="맑은 고딕"/>
        <family val="2"/>
        <charset val="129"/>
      </rPr>
      <t>오류가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발생합니다</t>
    </r>
    <r>
      <rPr>
        <sz val="10"/>
        <color rgb="FF991D1B"/>
        <rFont val="Segoe UI"/>
        <family val="2"/>
      </rPr>
      <t>.</t>
    </r>
  </si>
  <si>
    <r>
      <t xml:space="preserve">💡 </t>
    </r>
    <r>
      <rPr>
        <sz val="10"/>
        <color rgb="FF991D1B"/>
        <rFont val="맑은 고딕"/>
        <family val="2"/>
        <charset val="129"/>
      </rPr>
      <t>자가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합성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시약</t>
    </r>
    <r>
      <rPr>
        <sz val="10"/>
        <color rgb="FF991D1B"/>
        <rFont val="Segoe UI"/>
        <family val="2"/>
      </rPr>
      <t xml:space="preserve"> / </t>
    </r>
    <r>
      <rPr>
        <sz val="10"/>
        <color rgb="FF991D1B"/>
        <rFont val="맑은 고딕"/>
        <family val="2"/>
        <charset val="129"/>
      </rPr>
      <t>소분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시약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기입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규칙</t>
    </r>
    <r>
      <rPr>
        <sz val="10"/>
        <color rgb="FF991D1B"/>
        <rFont val="Segoe UI"/>
        <family val="2"/>
      </rPr>
      <t xml:space="preserve">: </t>
    </r>
    <r>
      <rPr>
        <sz val="10"/>
        <color rgb="FF991D1B"/>
        <rFont val="맑은 고딕"/>
        <family val="2"/>
        <charset val="129"/>
      </rPr>
      <t>제조사나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카탈로그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번호가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없는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자체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합성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시약은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제조사와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품번을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비워두고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시약명과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위치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정보만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기입하면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기존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텍스트가</t>
    </r>
    <r>
      <rPr>
        <sz val="10"/>
        <color rgb="FF991D1B"/>
        <rFont val="Segoe UI"/>
        <family val="2"/>
      </rPr>
      <t xml:space="preserve"> 100% </t>
    </r>
    <r>
      <rPr>
        <sz val="10"/>
        <color rgb="FF991D1B"/>
        <rFont val="맑은 고딕"/>
        <family val="2"/>
        <charset val="129"/>
      </rPr>
      <t>그대로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안전하게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유지됩니다</t>
    </r>
    <r>
      <rPr>
        <sz val="10"/>
        <color rgb="FF991D1B"/>
        <rFont val="Segoe UI"/>
        <family val="2"/>
      </rPr>
      <t>.</t>
    </r>
  </si>
  <si>
    <r>
      <t xml:space="preserve">🔄 3. </t>
    </r>
    <r>
      <rPr>
        <b/>
        <sz val="12"/>
        <color rgb="FFFFFFFF"/>
        <rFont val="맑은 고딕"/>
        <family val="2"/>
        <charset val="129"/>
      </rPr>
      <t>프로그램</t>
    </r>
    <r>
      <rPr>
        <b/>
        <sz val="12"/>
        <color rgb="FFFFFFFF"/>
        <rFont val="Segoe UI"/>
        <family val="2"/>
      </rPr>
      <t xml:space="preserve"> </t>
    </r>
    <r>
      <rPr>
        <b/>
        <sz val="12"/>
        <color rgb="FFFFFFFF"/>
        <rFont val="맑은 고딕"/>
        <family val="2"/>
        <charset val="129"/>
      </rPr>
      <t>자동</t>
    </r>
    <r>
      <rPr>
        <b/>
        <sz val="12"/>
        <color rgb="FFFFFFFF"/>
        <rFont val="Segoe UI"/>
        <family val="2"/>
      </rPr>
      <t xml:space="preserve"> </t>
    </r>
    <r>
      <rPr>
        <b/>
        <sz val="12"/>
        <color rgb="FFFFFFFF"/>
        <rFont val="맑은 고딕"/>
        <family val="2"/>
        <charset val="129"/>
      </rPr>
      <t>동기화</t>
    </r>
    <r>
      <rPr>
        <b/>
        <sz val="12"/>
        <color rgb="FFFFFFFF"/>
        <rFont val="Segoe UI"/>
        <family val="2"/>
      </rPr>
      <t xml:space="preserve"> </t>
    </r>
    <r>
      <rPr>
        <b/>
        <sz val="12"/>
        <color rgb="FFFFFFFF"/>
        <rFont val="맑은 고딕"/>
        <family val="2"/>
        <charset val="129"/>
      </rPr>
      <t>및</t>
    </r>
    <r>
      <rPr>
        <b/>
        <sz val="12"/>
        <color rgb="FFFFFFFF"/>
        <rFont val="Segoe UI"/>
        <family val="2"/>
      </rPr>
      <t xml:space="preserve"> </t>
    </r>
    <r>
      <rPr>
        <b/>
        <sz val="12"/>
        <color rgb="FFFFFFFF"/>
        <rFont val="맑은 고딕"/>
        <family val="2"/>
        <charset val="129"/>
      </rPr>
      <t>문의처</t>
    </r>
  </si>
  <si>
    <r>
      <t xml:space="preserve">1. </t>
    </r>
    <r>
      <rPr>
        <b/>
        <sz val="10"/>
        <color theme="1"/>
        <rFont val="맑은 고딕"/>
        <family val="2"/>
        <charset val="129"/>
      </rPr>
      <t>안전한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열람</t>
    </r>
    <r>
      <rPr>
        <b/>
        <sz val="10"/>
        <color theme="1"/>
        <rFont val="Segoe UI"/>
        <family val="2"/>
      </rPr>
      <t>/</t>
    </r>
    <r>
      <rPr>
        <b/>
        <sz val="10"/>
        <color theme="1"/>
        <rFont val="맑은 고딕"/>
        <family val="2"/>
        <charset val="129"/>
      </rPr>
      <t>작업</t>
    </r>
  </si>
  <si>
    <r>
      <t xml:space="preserve">ChemicalList.xlsx </t>
    </r>
    <r>
      <rPr>
        <sz val="10"/>
        <color theme="1"/>
        <rFont val="맑은 고딕"/>
        <family val="2"/>
        <charset val="129"/>
      </rPr>
      <t>파일이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연구원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컴퓨터에서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켜져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있어도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프로그램이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자동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임시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백업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및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안전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동기화를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진행하므로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파일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손실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없이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안심하고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작업하실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수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있습니다</t>
    </r>
    <r>
      <rPr>
        <sz val="10"/>
        <color theme="1"/>
        <rFont val="Segoe UI"/>
        <family val="2"/>
      </rPr>
      <t>.</t>
    </r>
  </si>
  <si>
    <r>
      <t xml:space="preserve">2. </t>
    </r>
    <r>
      <rPr>
        <b/>
        <sz val="10"/>
        <color theme="1"/>
        <rFont val="맑은 고딕"/>
        <family val="2"/>
        <charset val="129"/>
      </rPr>
      <t>백업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파일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자동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생성</t>
    </r>
  </si>
  <si>
    <r>
      <rPr>
        <sz val="10"/>
        <color theme="1"/>
        <rFont val="맑은 고딕"/>
        <family val="2"/>
        <charset val="129"/>
      </rPr>
      <t>동기화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진행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시마다</t>
    </r>
    <r>
      <rPr>
        <sz val="10"/>
        <color theme="1"/>
        <rFont val="Segoe UI"/>
        <family val="2"/>
      </rPr>
      <t xml:space="preserve"> backup/ </t>
    </r>
    <r>
      <rPr>
        <sz val="10"/>
        <color theme="1"/>
        <rFont val="맑은 고딕"/>
        <family val="2"/>
        <charset val="129"/>
      </rPr>
      <t>폴더에</t>
    </r>
    <r>
      <rPr>
        <sz val="10"/>
        <color theme="1"/>
        <rFont val="Segoe UI"/>
        <family val="2"/>
      </rPr>
      <t xml:space="preserve"> ChemicalList_backup_YYYYMMDD_HHMMSS.xlsx </t>
    </r>
    <r>
      <rPr>
        <sz val="10"/>
        <color theme="1"/>
        <rFont val="맑은 고딕"/>
        <family val="2"/>
        <charset val="129"/>
      </rPr>
      <t>형태로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자동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백업됩니다</t>
    </r>
    <r>
      <rPr>
        <sz val="10"/>
        <color theme="1"/>
        <rFont val="Segoe UI"/>
        <family val="2"/>
      </rPr>
      <t>.</t>
    </r>
  </si>
  <si>
    <r>
      <t xml:space="preserve">3. </t>
    </r>
    <r>
      <rPr>
        <b/>
        <sz val="10"/>
        <color theme="1"/>
        <rFont val="맑은 고딕"/>
        <family val="2"/>
        <charset val="129"/>
      </rPr>
      <t>제작자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및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문의처</t>
    </r>
  </si>
  <si>
    <r>
      <rPr>
        <sz val="10"/>
        <color theme="1"/>
        <rFont val="맑은 고딕"/>
        <family val="2"/>
        <charset val="129"/>
      </rPr>
      <t>제작자</t>
    </r>
    <r>
      <rPr>
        <sz val="10"/>
        <color theme="1"/>
        <rFont val="Segoe UI"/>
        <family val="2"/>
      </rPr>
      <t>: Jeonghun Lee (</t>
    </r>
    <r>
      <rPr>
        <sz val="10"/>
        <color theme="1"/>
        <rFont val="맑은 고딕"/>
        <family val="2"/>
        <charset val="129"/>
      </rPr>
      <t>문의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이메일</t>
    </r>
    <r>
      <rPr>
        <sz val="10"/>
        <color theme="1"/>
        <rFont val="Segoe UI"/>
        <family val="2"/>
      </rPr>
      <t>: jhl22@hanyang.ac.kr)</t>
    </r>
  </si>
  <si>
    <t>index</t>
  </si>
  <si>
    <r>
      <rPr>
        <b/>
        <sz val="10"/>
        <color theme="1"/>
        <rFont val="맑은 고딕"/>
        <family val="2"/>
        <charset val="129"/>
      </rPr>
      <t>보관장소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색인</t>
    </r>
  </si>
  <si>
    <r>
      <rPr>
        <sz val="10"/>
        <color theme="1"/>
        <rFont val="맑은 고딕"/>
        <family val="2"/>
        <charset val="129"/>
      </rPr>
      <t>연구실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보관장소</t>
    </r>
    <r>
      <rPr>
        <sz val="10"/>
        <color theme="1"/>
        <rFont val="Segoe UI"/>
        <family val="2"/>
      </rPr>
      <t xml:space="preserve">(Room), </t>
    </r>
    <r>
      <rPr>
        <sz val="10"/>
        <color theme="1"/>
        <rFont val="맑은 고딕"/>
        <family val="2"/>
        <charset val="129"/>
      </rPr>
      <t>보관온도</t>
    </r>
    <r>
      <rPr>
        <sz val="10"/>
        <color theme="1"/>
        <rFont val="Segoe UI"/>
        <family val="2"/>
      </rPr>
      <t xml:space="preserve">(Storage Temp.), </t>
    </r>
    <r>
      <rPr>
        <sz val="10"/>
        <color theme="1"/>
        <rFont val="맑은 고딕"/>
        <family val="2"/>
        <charset val="129"/>
      </rPr>
      <t>캐비넷</t>
    </r>
    <r>
      <rPr>
        <sz val="10"/>
        <color theme="1"/>
        <rFont val="Segoe UI"/>
        <family val="2"/>
      </rPr>
      <t xml:space="preserve">(Cabinet) </t>
    </r>
    <r>
      <rPr>
        <sz val="10"/>
        <color theme="1"/>
        <rFont val="맑은 고딕"/>
        <family val="2"/>
        <charset val="129"/>
      </rPr>
      <t>유효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리스트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정의</t>
    </r>
  </si>
  <si>
    <r>
      <rPr>
        <sz val="10"/>
        <color theme="1"/>
        <rFont val="맑은 고딕"/>
        <family val="2"/>
        <charset val="129"/>
      </rPr>
      <t>표준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범위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정의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시트</t>
    </r>
  </si>
  <si>
    <r>
      <rPr>
        <sz val="10"/>
        <color theme="1"/>
        <rFont val="맑은 고딕"/>
        <family val="2"/>
        <charset val="129"/>
      </rPr>
      <t>시약을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사용했을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때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사용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수량을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업데이트합니다</t>
    </r>
    <r>
      <rPr>
        <sz val="10"/>
        <color theme="1"/>
        <rFont val="Segoe UI"/>
        <family val="2"/>
      </rPr>
      <t>. (Quantity</t>
    </r>
    <r>
      <rPr>
        <sz val="10"/>
        <color theme="1"/>
        <rFont val="맑은 고딕"/>
        <family val="2"/>
        <charset val="129"/>
      </rPr>
      <t>와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비교하여</t>
    </r>
    <r>
      <rPr>
        <sz val="10"/>
        <color theme="1"/>
        <rFont val="Segoe UI"/>
        <family val="2"/>
      </rPr>
      <t xml:space="preserve"> Status </t>
    </r>
    <r>
      <rPr>
        <sz val="10"/>
        <color theme="1"/>
        <rFont val="맑은 고딕"/>
        <family val="2"/>
        <charset val="129"/>
      </rPr>
      <t>자동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결정</t>
    </r>
    <r>
      <rPr>
        <sz val="10"/>
        <color theme="1"/>
        <rFont val="Segoe UI"/>
        <family val="2"/>
      </rPr>
      <t>)</t>
    </r>
  </si>
  <si>
    <t>26-0051</t>
  </si>
  <si>
    <t>1/30</t>
  </si>
  <si>
    <t>40K zeba spin column 0.5ml*50ea</t>
  </si>
  <si>
    <t>26-0053</t>
  </si>
  <si>
    <t>1/16</t>
  </si>
  <si>
    <t>Balb/c nude * 30</t>
  </si>
  <si>
    <t>3we3</t>
  </si>
  <si>
    <t>Search Failed</t>
  </si>
  <si>
    <t>Product Not Found</t>
  </si>
  <si>
    <t>26-0059</t>
  </si>
  <si>
    <t>Abcam</t>
  </si>
  <si>
    <t>20 uL</t>
  </si>
  <si>
    <t>ab92536</t>
  </si>
  <si>
    <t>[ab92536] Anti-MMP2 antibody [EPR1184]</t>
  </si>
  <si>
    <t>Anti-MMP2 antibody [EPR1184] - recombinant (ab92536)</t>
  </si>
  <si>
    <t>N/A</t>
  </si>
  <si>
    <t>https://www.abcam.com/en-us/products/primary-antibodies/mmp2-antibody-epr1184-ab92536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</si>
</sst>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4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000000"/>
      <name val="Malgun Gothic"/>
      <family val="3"/>
      <charset val="129"/>
    </font>
    <font>
      <sz val="11"/>
      <color rgb="FF000000"/>
      <name val="Calibri"/>
      <family val="2"/>
    </font>
    <font>
      <sz val="11"/>
      <color rgb="FFFF660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rgb="FF0000FF"/>
      <name val="맑은 고딕"/>
      <family val="2"/>
      <charset val="129"/>
      <scheme val="minor"/>
    </font>
    <font>
      <b/>
      <sz val="15"/>
      <color rgb="FFFFFFFF"/>
      <name val="Segoe UI"/>
      <family val="2"/>
    </font>
    <font>
      <b/>
      <sz val="15"/>
      <color rgb="FFFFFFFF"/>
      <name val="맑은 고딕"/>
      <family val="2"/>
      <charset val="129"/>
    </font>
    <font>
      <b/>
      <sz val="12"/>
      <color rgb="FFFFFFFF"/>
      <name val="Segoe UI"/>
      <family val="2"/>
    </font>
    <font>
      <b/>
      <sz val="12"/>
      <color rgb="FFFFFFFF"/>
      <name val="맑은 고딕"/>
      <family val="2"/>
      <charset val="129"/>
    </font>
    <font>
      <sz val="10"/>
      <color theme="1"/>
      <name val="Segoe UI"/>
      <family val="2"/>
    </font>
    <font>
      <sz val="10"/>
      <color theme="1"/>
      <name val="맑은 고딕"/>
      <family val="2"/>
      <charset val="129"/>
    </font>
    <font>
      <b/>
      <sz val="11"/>
      <color rgb="FF1E40AF"/>
      <name val="Segoe UI"/>
      <family val="2"/>
    </font>
    <font>
      <b/>
      <sz val="11"/>
      <color rgb="FF1E40AF"/>
      <name val="맑은 고딕"/>
      <family val="2"/>
      <charset val="129"/>
    </font>
    <font>
      <b/>
      <sz val="10"/>
      <color theme="1"/>
      <name val="Segoe UI"/>
      <family val="2"/>
    </font>
    <font>
      <b/>
      <sz val="10"/>
      <color rgb="FF1E3A8A"/>
      <name val="Segoe UI"/>
      <family val="2"/>
    </font>
    <font>
      <b/>
      <sz val="10"/>
      <color theme="1"/>
      <name val="맑은 고딕"/>
      <family val="2"/>
      <charset val="129"/>
    </font>
    <font>
      <b/>
      <sz val="10"/>
      <color rgb="FF1E3A8A"/>
      <name val="맑은 고딕"/>
      <family val="2"/>
      <charset val="129"/>
    </font>
    <font>
      <b/>
      <sz val="10"/>
      <color rgb="FF2585EB"/>
      <name val="Consolas"/>
      <family val="3"/>
    </font>
    <font>
      <b/>
      <sz val="10"/>
      <color rgb="FF2585EB"/>
      <name val="맑은 고딕"/>
      <family val="2"/>
      <charset val="129"/>
    </font>
    <font>
      <sz val="10"/>
      <color rgb="FF991D1B"/>
      <name val="Segoe UI"/>
      <family val="2"/>
    </font>
    <font>
      <sz val="10"/>
      <color rgb="FF991D1B"/>
      <name val="맑은 고딕"/>
      <family val="2"/>
      <charset val="129"/>
    </font>
  </fonts>
  <fills count="11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1E3A8A"/>
        <bgColor indexed="64"/>
      </patternFill>
    </fill>
    <fill>
      <patternFill patternType="solid">
        <fgColor rgb="FF0284C7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DBE9FE"/>
        <bgColor indexed="64"/>
      </patternFill>
    </fill>
    <fill>
      <patternFill patternType="solid">
        <fgColor rgb="FFF8F2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EE2E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8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49" fontId="2" fillId="2" borderId="0" xfId="0" applyNumberFormat="1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 wrapText="1"/>
    </xf>
    <xf numFmtId="49" fontId="0" fillId="0" borderId="0" xfId="0" applyNumberFormat="1" applyAlignment="1"/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49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0" fontId="2" fillId="3" borderId="0" xfId="0" applyFont="1" applyFill="1" applyAlignment="1">
      <alignment horizontal="center" vertical="center"/>
    </xf>
    <xf numFmtId="14" fontId="0" fillId="0" borderId="0" xfId="0" applyNumberFormat="1" applyAlignment="1">
      <alignment horizontal="left" vertical="center"/>
    </xf>
    <xf numFmtId="0" fontId="17" fillId="7" borderId="1" xfId="0" applyFont="1" applyFill="1" applyBorder="1" applyAlignment="1">
      <alignment horizontal="center" vertical="center"/>
    </xf>
    <xf numFmtId="0" fontId="16" fillId="8" borderId="1" xfId="0" applyFont="1" applyFill="1" applyBorder="1" applyAlignment="1">
      <alignment horizontal="center" vertical="center" wrapText="1"/>
    </xf>
    <xf numFmtId="0" fontId="16" fillId="8" borderId="1" xfId="0" applyFont="1" applyFill="1" applyBorder="1" applyAlignment="1">
      <alignment horizontal="left" vertical="center" wrapText="1"/>
    </xf>
    <xf numFmtId="0" fontId="20" fillId="8" borderId="1" xfId="0" applyFont="1" applyFill="1" applyBorder="1" applyAlignment="1">
      <alignment horizontal="left" vertical="center" wrapText="1"/>
    </xf>
    <xf numFmtId="0" fontId="16" fillId="9" borderId="1" xfId="0" applyFont="1" applyFill="1" applyBorder="1" applyAlignment="1">
      <alignment horizontal="center" vertical="center" wrapText="1"/>
    </xf>
    <xf numFmtId="0" fontId="16" fillId="9" borderId="1" xfId="0" applyFont="1" applyFill="1" applyBorder="1" applyAlignment="1">
      <alignment horizontal="left" vertical="center" wrapText="1"/>
    </xf>
    <xf numFmtId="14" fontId="20" fillId="9" borderId="1" xfId="0" applyNumberFormat="1" applyFont="1" applyFill="1" applyBorder="1" applyAlignment="1">
      <alignment horizontal="left" vertical="center" wrapText="1"/>
    </xf>
    <xf numFmtId="0" fontId="20" fillId="9" borderId="1" xfId="0" applyFont="1" applyFill="1" applyBorder="1" applyAlignment="1">
      <alignment horizontal="left" vertical="center" wrapText="1"/>
    </xf>
    <xf numFmtId="0" fontId="16" fillId="8" borderId="1" xfId="0" applyFont="1" applyFill="1" applyBorder="1" applyAlignment="1">
      <alignment horizontal="center" vertical="center"/>
    </xf>
    <xf numFmtId="0" fontId="12" fillId="8" borderId="1" xfId="0" applyFont="1" applyFill="1" applyBorder="1" applyAlignment="1">
      <alignment horizontal="left" vertical="center" wrapText="1"/>
    </xf>
    <xf numFmtId="0" fontId="16" fillId="9" borderId="1" xfId="0" applyFont="1" applyFill="1" applyBorder="1" applyAlignment="1">
      <alignment horizontal="center" vertical="center"/>
    </xf>
    <xf numFmtId="0" fontId="12" fillId="9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22" fillId="10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8" fillId="4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5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12" fillId="0" borderId="0" xfId="0" applyFont="1" applyAlignment="1">
      <alignment vertical="center"/>
    </xf>
    <xf numFmtId="0" fontId="0" fillId="0" borderId="0" xfId="0" applyAlignment="1">
      <alignment vertical="center"/>
    </xf>
    <xf numFmtId="0" fontId="14" fillId="6" borderId="0" xfId="0" applyFont="1" applyFill="1" applyAlignment="1">
      <alignment horizontal="left" vertical="center"/>
    </xf>
    <xf numFmtId="0" fontId="12" fillId="8" borderId="1" xfId="0" applyFont="1" applyFill="1" applyBorder="1" applyAlignment="1">
      <alignment horizontal="left" vertical="center" wrapText="1"/>
    </xf>
    <xf numFmtId="0" fontId="12" fillId="9" borderId="1" xfId="0" applyFont="1" applyFill="1" applyBorder="1" applyAlignment="1">
      <alignment horizontal="left" vertical="center" wrapText="1"/>
    </xf>
    <xf numFmtId="22" fontId="0" fillId="0" borderId="0" xfId="0" applyNumberFormat="1" applyAlignment="1"/>
  </cellXfs>
  <cellStyles count="1">
    <cellStyle name="표준" xfId="0" builtinId="0"/>
  </cellStyles>
  <dxfs count="88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F2E6"/>
        </patternFill>
      </fill>
    </dxf>
    <dxf>
      <font>
        <color rgb="FF000000"/>
      </font>
      <fill>
        <patternFill>
          <bgColor rgb="FFFFFEE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color rgb="FFFF0000"/>
      </font>
      <fill>
        <patternFill>
          <bgColor rgb="FFFFFF00"/>
        </patternFill>
      </fill>
    </dxf>
    <dxf>
      <font>
        <b/>
        <color rgb="FFFF0000"/>
      </font>
      <fill>
        <patternFill>
          <bgColor rgb="FFFFFF00"/>
        </patternFill>
      </fill>
    </dxf>
    <dxf>
      <font>
        <b/>
        <color rgb="FFFF0000"/>
      </font>
      <fill>
        <patternFill>
          <bgColor rgb="FFFFFF00"/>
        </patternFill>
      </fill>
    </dxf>
    <dxf>
      <font>
        <b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F2E6"/>
        </patternFill>
      </fill>
    </dxf>
    <dxf>
      <font>
        <color rgb="FF000000"/>
      </font>
      <fill>
        <patternFill>
          <bgColor rgb="FFFFFEE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000"/>
  <sheetViews>
    <sheetView tabSelected="1" zoomScale="70" zoomScaleNormal="70" workbookViewId="0">
      <selection activeCell="D8" sqref="D8"/>
    </sheetView>
  </sheetViews>
  <sheetFormatPr defaultRowHeight="16.5"/>
  <cols>
    <col min="1" max="1" width="10.625" style="8" customWidth="1"/>
    <col min="2" max="2" width="10.625" style="18" customWidth="1"/>
    <col min="3" max="3" width="10.625" style="8" customWidth="1"/>
    <col min="4" max="4" width="51.25" style="8" customWidth="1"/>
    <col min="5" max="5" width="15.125" style="8" customWidth="1"/>
    <col min="6" max="6" width="10.625" style="8" customWidth="1"/>
    <col min="7" max="7" width="14.75" style="8" customWidth="1"/>
    <col min="8" max="8" width="12" style="11" customWidth="1"/>
    <col min="14" max="14" width="9" style="1" customWidth="1"/>
    <col min="15" max="15" width="32.375" style="8" customWidth="1"/>
    <col min="16" max="17" width="14.625" style="8" customWidth="1"/>
    <col min="18" max="18" width="39.625" style="8" customWidth="1"/>
    <col min="19" max="21" width="14.625" style="8" customWidth="1"/>
    <col min="22" max="22" width="15.875" style="8" hidden="1" customWidth="1"/>
  </cols>
  <sheetData>
    <row r="1" spans="1:22" ht="39" customHeight="1">
      <c r="A1" s="4" t="s">
        <v>0</v>
      </c>
      <c r="B1" s="5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35" t="s">
        <v>21</v>
      </c>
    </row>
    <row r="2" spans="1:22">
      <c r="A2" s="35" t="s">
        <v>268</v>
      </c>
      <c r="B2" s="3" t="s">
        <v>40</v>
      </c>
      <c r="C2" s="7" t="s">
        <v>64</v>
      </c>
      <c r="D2" s="12" t="str">
        <f>IF(OR(E2="", H2=""), V2, IFERROR(IF(VLOOKUP(E2&amp;"|"&amp;H2&amp;"", DB!$A:$N, 4, FALSE)="", V2, VLOOKUP(E2&amp;"|"&amp;H2&amp;"", DB!$A:$N, 4, FALSE)), V2))</f>
        <v>Perfluorooctane</v>
      </c>
      <c r="E2" s="13" t="s">
        <v>202</v>
      </c>
      <c r="F2" s="6" t="s">
        <v>23</v>
      </c>
      <c r="G2" s="35" t="str">
        <f>IF(OR(E2="", H2=""), "", IFERROR(VLOOKUP(E2&amp;"|"&amp;H2&amp;"", DB!$A:$N, 5, FALSE), ""))</f>
        <v>307-34-6</v>
      </c>
      <c r="H2" s="9" t="s">
        <v>203</v>
      </c>
      <c r="I2" s="35">
        <v>309</v>
      </c>
      <c r="J2" s="35" t="str">
        <f>IFERROR(IF(OR(VLOOKUP(E2&amp;"|"&amp;H2&amp;"", DB!$A:$N, 6, FALSE)="", VLOOKUP(E2&amp;"|"&amp;H2&amp;"", DB!$A:$N, 6, FALSE)="-"), "", VLOOKUP(E2&amp;"|"&amp;H2&amp;"", DB!$A:$N, 6, FALSE)), "")</f>
        <v>RT</v>
      </c>
      <c r="K2" s="35" t="s">
        <v>25</v>
      </c>
      <c r="L2" s="6">
        <v>1</v>
      </c>
      <c r="M2" s="35"/>
      <c r="N2" s="35">
        <f t="shared" ref="N2:N65" si="0">IF(TRIM(D2)="", "", IF(N(L2)-N(M2)&lt;=0, "X", N(L2)-N(M2)))</f>
        <v>1</v>
      </c>
      <c r="O2" s="34"/>
      <c r="P2" s="34" t="str">
        <f>IF(OR(E2="", H2=""), "", IFERROR(IF(VLOOKUP(E2&amp;"|"&amp;H2&amp;"", DB!$A:$N, 7, FALSE)="","-",VLOOKUP(E2&amp;"|"&amp;H2&amp;"", DB!$A:$N, 7, FALSE)), "-"))</f>
        <v>-</v>
      </c>
      <c r="Q2" s="34" t="str">
        <f>IF(OR(E2="", H2=""), "", IFERROR(IF(VLOOKUP(E2&amp;"|"&amp;H2&amp;"", DB!$A:$N, 8, FALSE)="","-",VLOOKUP(E2&amp;"|"&amp;H2&amp;"", DB!$A:$N, 8, FALSE)), "-"))</f>
        <v>-</v>
      </c>
      <c r="R2" s="34" t="str">
        <f>IF(OR(E2="", H2=""), "", IFERROR(IF(VLOOKUP(E2&amp;"|"&amp;H2&amp;"", DB!$A:$N, 9, FALSE)="","-",VLOOKUP(E2&amp;"|"&amp;H2&amp;"", DB!$A:$N, 9, FALSE)), "-"))</f>
        <v>-</v>
      </c>
      <c r="S2" s="34" t="str">
        <f>IF(OR(E2="", H2=""), "", IFERROR(IF(VLOOKUP(E2&amp;"|"&amp;H2&amp;"", DB!$A:$N, 10, FALSE)="","-",VLOOKUP(E2&amp;"|"&amp;H2&amp;"", DB!$A:$N, 10, FALSE)), "-"))</f>
        <v>-</v>
      </c>
      <c r="T2" s="34" t="str">
        <f>IF(OR(E2="", H2=""), "", IFERROR(IF(VLOOKUP(E2&amp;"|"&amp;H2&amp;"", DB!$A:$N, 11, FALSE)="","-",VLOOKUP(E2&amp;"|"&amp;H2&amp;"", DB!$A:$N, 11, FALSE)), "-"))</f>
        <v>https://www.sigmaaldrich.com/KR/en/product/aldrich/359238</v>
      </c>
      <c r="U2" s="34" t="str">
        <f>IF(OR(E2="", H2=""), "", IFERROR(IF(VLOOKUP(E2&amp;"|"&amp;H2&amp;"", DB!$A:$N, 12, FALSE)="","-",VLOOKUP(E2&amp;"|"&amp;H2&amp;"", DB!$A:$N, 12, FALSE)), "-"))</f>
        <v>https://www.sigmaaldrich.com/KR/ko/sds/aldrich/359238</v>
      </c>
      <c r="V2" s="34" t="s">
        <v>26</v>
      </c>
    </row>
    <row r="3" spans="1:22">
      <c r="A3" s="35"/>
      <c r="B3" s="3"/>
      <c r="C3" s="7"/>
      <c r="D3" s="12" t="str">
        <f>IF(OR(E3="", H3=""), V3, IFERROR(IF(VLOOKUP(E3&amp;"|"&amp;H3&amp;"", DB!$A:$N, 4, FALSE)="", V3, VLOOKUP(E3&amp;"|"&amp;H3&amp;"", DB!$A:$N, 4, FALSE)), V3))</f>
        <v>(3-Aminopropyl)triethoxysilane</v>
      </c>
      <c r="E3" s="13" t="s">
        <v>202</v>
      </c>
      <c r="F3" s="6" t="s">
        <v>27</v>
      </c>
      <c r="G3" s="35" t="str">
        <f>IF(OR(E3="", H3=""), "", IFERROR(VLOOKUP(E3&amp;"|"&amp;H3&amp;"", DB!$A:$N, 5, FALSE), ""))</f>
        <v>919-30-2</v>
      </c>
      <c r="H3" s="9" t="s">
        <v>204</v>
      </c>
      <c r="I3" s="35">
        <v>1018</v>
      </c>
      <c r="J3" s="35" t="str">
        <f>IFERROR(IF(OR(VLOOKUP(E3&amp;"|"&amp;H3&amp;"", DB!$A:$N, 6, FALSE)="", VLOOKUP(E3&amp;"|"&amp;H3&amp;"", DB!$A:$N, 6, FALSE)="-"), "", VLOOKUP(E3&amp;"|"&amp;H3&amp;"", DB!$A:$N, 6, FALSE)), "")</f>
        <v/>
      </c>
      <c r="K3" s="35" t="s">
        <v>28</v>
      </c>
      <c r="L3" s="6">
        <v>1</v>
      </c>
      <c r="M3" s="35"/>
      <c r="N3" s="35">
        <f t="shared" si="0"/>
        <v>1</v>
      </c>
      <c r="O3" s="34"/>
      <c r="P3" s="34" t="str">
        <f>IF(OR(E3="", H3=""), "", IFERROR(IF(VLOOKUP(E3&amp;"|"&amp;H3&amp;"", DB!$A:$N, 7, FALSE)="","-",VLOOKUP(E3&amp;"|"&amp;H3&amp;"", DB!$A:$N, 7, FALSE)), "-"))</f>
        <v>-</v>
      </c>
      <c r="Q3" s="15" t="str">
        <f>IF(OR(E3="", H3=""), "", IFERROR(IF(VLOOKUP(E3&amp;"|"&amp;H3&amp;"", DB!$A:$N, 8, FALSE)="","-",VLOOKUP(E3&amp;"|"&amp;H3&amp;"", DB!$A:$N, 8, FALSE)), "-"))</f>
        <v>● Danger</v>
      </c>
      <c r="R3" s="16" t="str">
        <f>IF(OR(E3="", H3=""), "", IFERROR(IF(VLOOKUP(E3&amp;"|"&amp;H3&amp;"", DB!$A:$N, 9, FALSE)="","-",VLOOKUP(E3&amp;"|"&amp;H3&amp;"", DB!$A:$N, 9, FALSE)), "-"))</f>
        <v>▲ Corrosive / Eye Damage</v>
      </c>
      <c r="S3" s="34" t="str">
        <f>IF(OR(E3="", H3=""), "", IFERROR(IF(VLOOKUP(E3&amp;"|"&amp;H3&amp;"", DB!$A:$N, 10, FALSE)="","-",VLOOKUP(E3&amp;"|"&amp;H3&amp;"", DB!$A:$N, 10, FALSE)), "-"))</f>
        <v>H314: Causes severe skin burns and eye damage / H317: May cause an allergic skin reaction / H302: Harmful if swallowed</v>
      </c>
      <c r="T3" s="34" t="str">
        <f>IF(OR(E3="", H3=""), "", IFERROR(IF(VLOOKUP(E3&amp;"|"&amp;H3&amp;"", DB!$A:$N, 11, FALSE)="","-",VLOOKUP(E3&amp;"|"&amp;H3&amp;"", DB!$A:$N, 11, FALSE)), "-"))</f>
        <v>https://www.sigmaaldrich.com/KR/en/product/aldrich/440140</v>
      </c>
      <c r="U3" s="34" t="str">
        <f>IF(OR(E3="", H3=""), "", IFERROR(IF(VLOOKUP(E3&amp;"|"&amp;H3&amp;"", DB!$A:$N, 12, FALSE)="","-",VLOOKUP(E3&amp;"|"&amp;H3&amp;"", DB!$A:$N, 12, FALSE)), "-"))</f>
        <v>https://www.sigmaaldrich.com/KR/ko/sds/aldrich/440140</v>
      </c>
      <c r="V3" s="34" t="s">
        <v>29</v>
      </c>
    </row>
    <row r="4" spans="1:22">
      <c r="A4" s="35" t="s">
        <v>30</v>
      </c>
      <c r="B4" s="3" t="s">
        <v>31</v>
      </c>
      <c r="C4" s="35" t="s">
        <v>32</v>
      </c>
      <c r="D4" s="34" t="str">
        <f>IF(OR(E4="", H4=""), V4, IFERROR(IF(VLOOKUP(E4&amp;"|"&amp;H4&amp;"", DB!$A:$N, 4, FALSE)="", V4, VLOOKUP(E4&amp;"|"&amp;H4&amp;"", DB!$A:$N, 4, FALSE)), V4))</f>
        <v>[ab213480] Anti-PD-L1 antibody</v>
      </c>
      <c r="E4" s="34"/>
      <c r="F4" s="35"/>
      <c r="G4" s="35" t="str">
        <f>IF(OR(E4="", H4=""), "", IFERROR(VLOOKUP(E4&amp;"|"&amp;H4&amp;"", DB!$A:$N, 5, FALSE), ""))</f>
        <v/>
      </c>
      <c r="H4" s="3"/>
      <c r="I4" s="35">
        <v>1018</v>
      </c>
      <c r="J4" s="35" t="str">
        <f>IF(OR(TRIM(E4)="", TRIM(H4)=""), "", IFERROR(IF(OR(VLOOKUP(E4&amp;"|"&amp;H4&amp;"", DB!$A:$N, 6, FALSE)="", VLOOKUP(E4&amp;"|"&amp;H4&amp;"", DB!$A:$N, 6, FALSE)="-"), "", VLOOKUP(E4&amp;"|"&amp;H4&amp;"", DB!$A:$N, 6, FALSE)), ""))</f>
        <v/>
      </c>
      <c r="K4" s="35" t="s">
        <v>33</v>
      </c>
      <c r="L4" s="35"/>
      <c r="M4" s="35">
        <v>1</v>
      </c>
      <c r="N4" s="35" t="str">
        <f t="shared" si="0"/>
        <v>X</v>
      </c>
      <c r="O4" s="34"/>
      <c r="P4" s="34"/>
      <c r="Q4" s="34"/>
      <c r="R4" s="34"/>
      <c r="S4" s="34"/>
      <c r="T4" s="34"/>
      <c r="U4" s="34"/>
      <c r="V4" s="34" t="s">
        <v>34</v>
      </c>
    </row>
    <row r="5" spans="1:22">
      <c r="A5" s="35"/>
      <c r="B5" s="3"/>
      <c r="C5" s="35" t="s">
        <v>35</v>
      </c>
      <c r="D5" s="34" t="str">
        <f>IF(OR(E5="", H5=""), V5, IFERROR(IF(VLOOKUP(E5&amp;"|"&amp;H5&amp;"", DB!$A:$N, 4, FALSE)="", V5, VLOOKUP(E5&amp;"|"&amp;H5&amp;"", DB!$A:$N, 4, FALSE)), V5))</f>
        <v>[ab76003] Anti-MMP9 antibody [EP1254]</v>
      </c>
      <c r="E5" s="34" t="s">
        <v>205</v>
      </c>
      <c r="F5" s="35">
        <v>1</v>
      </c>
      <c r="G5" s="35" t="str">
        <f>IF(OR(E5="", H5=""), "", IFERROR(VLOOKUP(E5&amp;"|"&amp;H5&amp;"", DB!$A:$N, 5, FALSE), ""))</f>
        <v/>
      </c>
      <c r="H5" s="3"/>
      <c r="I5" s="35">
        <v>1001</v>
      </c>
      <c r="J5" s="35" t="str">
        <f>IF(OR(TRIM(E5)="", TRIM(H5)=""), "", IFERROR(IF(OR(VLOOKUP(E5&amp;"|"&amp;H5&amp;"", DB!$A:$N, 6, FALSE)="", VLOOKUP(E5&amp;"|"&amp;H5&amp;"", DB!$A:$N, 6, FALSE)="-"), "", VLOOKUP(E5&amp;"|"&amp;H5&amp;"", DB!$A:$N, 6, FALSE)), ""))</f>
        <v/>
      </c>
      <c r="K5" s="35" t="s">
        <v>37</v>
      </c>
      <c r="L5" s="35">
        <v>2</v>
      </c>
      <c r="M5" s="35"/>
      <c r="N5" s="35">
        <f t="shared" si="0"/>
        <v>2</v>
      </c>
      <c r="O5" s="34"/>
      <c r="P5" s="34" t="str">
        <f>IF(OR(E5="", H5=""), "", IFERROR(IF(VLOOKUP(E5&amp;"|"&amp;H5&amp;"", DB!$A:$N, 7, FALSE)="","-",VLOOKUP(E5&amp;"|"&amp;H5&amp;"", DB!$A:$N, 7, FALSE)), "-"))</f>
        <v/>
      </c>
      <c r="Q5" s="34" t="str">
        <f>IF(OR(E5="", H5=""), "", IFERROR(IF(VLOOKUP(E5&amp;"|"&amp;H5&amp;"", DB!$A:$N, 8, FALSE)="","-",VLOOKUP(E5&amp;"|"&amp;H5&amp;"", DB!$A:$N, 8, FALSE)), "-"))</f>
        <v/>
      </c>
      <c r="R5" s="34" t="str">
        <f>IF(OR(E5="", H5=""), "", IFERROR(IF(VLOOKUP(E5&amp;"|"&amp;H5&amp;"", DB!$A:$N, 9, FALSE)="","-",VLOOKUP(E5&amp;"|"&amp;H5&amp;"", DB!$A:$N, 9, FALSE)), "-"))</f>
        <v/>
      </c>
      <c r="S5" s="34" t="str">
        <f>IF(OR(E5="", H5=""), "", IFERROR(IF(VLOOKUP(E5&amp;"|"&amp;H5&amp;"", DB!$A:$N, 10, FALSE)="","-",VLOOKUP(E5&amp;"|"&amp;H5&amp;"", DB!$A:$N, 10, FALSE)), "-"))</f>
        <v/>
      </c>
      <c r="T5" s="34" t="str">
        <f>IF(OR(E5="", H5=""), "", IFERROR(IF(VLOOKUP(E5&amp;"|"&amp;H5&amp;"", DB!$A:$N, 11, FALSE)="","-",VLOOKUP(E5&amp;"|"&amp;H5&amp;"", DB!$A:$N, 11, FALSE)), "-"))</f>
        <v/>
      </c>
      <c r="U5" s="34" t="str">
        <f>IF(OR(E5="", H5=""), "", IFERROR(IF(VLOOKUP(E5&amp;"|"&amp;H5&amp;"", DB!$A:$N, 12, FALSE)="","-",VLOOKUP(E5&amp;"|"&amp;H5&amp;"", DB!$A:$N, 12, FALSE)), "-"))</f>
        <v/>
      </c>
      <c r="V5" s="34" t="s">
        <v>38</v>
      </c>
    </row>
    <row r="6" spans="1:22">
      <c r="A6" s="35" t="s">
        <v>39</v>
      </c>
      <c r="B6" s="3" t="s">
        <v>40</v>
      </c>
      <c r="C6" s="35" t="s">
        <v>35</v>
      </c>
      <c r="D6" s="34" t="str">
        <f>IF(OR(E6="", H6=""), V6, IFERROR(IF(VLOOKUP(E6&amp;"|"&amp;H6&amp;"", DB!$A:$N, 4, FALSE)="", V6, VLOOKUP(E6&amp;"|"&amp;H6&amp;"", DB!$A:$N, 4, FALSE)), V6))</f>
        <v>[ab76003] Anti-MMP9 antibody [EP1254]</v>
      </c>
      <c r="E6" s="34" t="s">
        <v>205</v>
      </c>
      <c r="F6" s="35">
        <v>1</v>
      </c>
      <c r="G6" s="35" t="str">
        <f>IF(OR(E6="", H6=""), "", IFERROR(VLOOKUP(E6&amp;"|"&amp;H6&amp;"", DB!$A:$N, 5, FALSE), ""))</f>
        <v>Manual Input Required</v>
      </c>
      <c r="H6" s="3" t="s">
        <v>206</v>
      </c>
      <c r="I6" s="35"/>
      <c r="J6" s="35" t="str">
        <f>IFERROR(IF(OR(VLOOKUP(E6&amp;"|"&amp;H6&amp;"", DB!$A:$N, 6, FALSE)="", VLOOKUP(E6&amp;"|"&amp;H6&amp;"", DB!$A:$N, 6, FALSE)="-"), "", VLOOKUP(E6&amp;"|"&amp;H6&amp;"", DB!$A:$N, 6, FALSE)), "")</f>
        <v/>
      </c>
      <c r="K6" s="35"/>
      <c r="L6" s="35">
        <v>2</v>
      </c>
      <c r="M6" s="35"/>
      <c r="N6" s="35">
        <f t="shared" si="0"/>
        <v>2</v>
      </c>
      <c r="O6" s="34"/>
      <c r="P6" s="34" t="str">
        <f>IF(OR(E6="", H6=""), "", IFERROR(IF(VLOOKUP(E6&amp;"|"&amp;H6&amp;"", DB!$A:$N, 7, FALSE)="","-",VLOOKUP(E6&amp;"|"&amp;H6&amp;"", DB!$A:$N, 7, FALSE)), "-"))</f>
        <v>-</v>
      </c>
      <c r="Q6" s="34" t="str">
        <f>IF(OR(E6="", H6=""), "", IFERROR(IF(VLOOKUP(E6&amp;"|"&amp;H6&amp;"", DB!$A:$N, 8, FALSE)="","-",VLOOKUP(E6&amp;"|"&amp;H6&amp;"", DB!$A:$N, 8, FALSE)), "-"))</f>
        <v>-</v>
      </c>
      <c r="R6" s="34" t="str">
        <f>IF(OR(E6="", H6=""), "", IFERROR(IF(VLOOKUP(E6&amp;"|"&amp;H6&amp;"", DB!$A:$N, 9, FALSE)="","-",VLOOKUP(E6&amp;"|"&amp;H6&amp;"", DB!$A:$N, 9, FALSE)), "-"))</f>
        <v>-</v>
      </c>
      <c r="S6" s="34" t="str">
        <f>IF(OR(E6="", H6=""), "", IFERROR(IF(VLOOKUP(E6&amp;"|"&amp;H6&amp;"", DB!$A:$N, 10, FALSE)="","-",VLOOKUP(E6&amp;"|"&amp;H6&amp;"", DB!$A:$N, 10, FALSE)), "-"))</f>
        <v>-</v>
      </c>
      <c r="T6" s="34" t="str">
        <f>IF(OR(E6="", H6=""), "", IFERROR(IF(VLOOKUP(E6&amp;"|"&amp;H6&amp;"", DB!$A:$N, 11, FALSE)="","-",VLOOKUP(E6&amp;"|"&amp;H6&amp;"", DB!$A:$N, 11, FALSE)), "-"))</f>
        <v>-</v>
      </c>
      <c r="U6" s="34" t="str">
        <f>IF(OR(E6="", H6=""), "", IFERROR(IF(VLOOKUP(E6&amp;"|"&amp;H6&amp;"", DB!$A:$N, 12, FALSE)="","-",VLOOKUP(E6&amp;"|"&amp;H6&amp;"", DB!$A:$N, 12, FALSE)), "-"))</f>
        <v>-</v>
      </c>
      <c r="V6" s="34" t="s">
        <v>38</v>
      </c>
    </row>
    <row r="7" spans="1:22">
      <c r="A7" s="35"/>
      <c r="B7" s="3"/>
      <c r="C7" s="35" t="s">
        <v>32</v>
      </c>
      <c r="D7" s="34" t="str">
        <f>IF(OR(E7="", H7=""), V7, IFERROR(IF(VLOOKUP(E7&amp;"|"&amp;H7&amp;"", DB!$A:$N, 4, FALSE)="", V7, VLOOKUP(E7&amp;"|"&amp;H7&amp;"", DB!$A:$N, 4, FALSE)), V7))</f>
        <v>[B7651] Brefeldin A</v>
      </c>
      <c r="E7" s="34" t="s">
        <v>207</v>
      </c>
      <c r="F7" s="35" t="s">
        <v>43</v>
      </c>
      <c r="G7" s="35" t="str">
        <f>IF(OR(E7="", H7=""), "", IFERROR(VLOOKUP(E7&amp;"|"&amp;H7&amp;"", DB!$A:$N, 5, FALSE), ""))</f>
        <v/>
      </c>
      <c r="H7" s="3"/>
      <c r="I7" s="35">
        <v>1018</v>
      </c>
      <c r="J7" s="35" t="str">
        <f>IF(OR(TRIM(E7)="", TRIM(H7)=""), "", IFERROR(IF(OR(VLOOKUP(E7&amp;"|"&amp;H7&amp;"", DB!$A:$N, 6, FALSE)="", VLOOKUP(E7&amp;"|"&amp;H7&amp;"", DB!$A:$N, 6, FALSE)="-"), "", VLOOKUP(E7&amp;"|"&amp;H7&amp;"", DB!$A:$N, 6, FALSE)), ""))</f>
        <v/>
      </c>
      <c r="K7" s="35" t="s">
        <v>44</v>
      </c>
      <c r="L7" s="35">
        <v>2</v>
      </c>
      <c r="M7" s="35">
        <v>1</v>
      </c>
      <c r="N7" s="35">
        <f t="shared" si="0"/>
        <v>1</v>
      </c>
      <c r="O7" s="34"/>
      <c r="P7" s="34" t="str">
        <f>IF(OR(E7="", H7=""), "", IFERROR(IF(VLOOKUP(E7&amp;"|"&amp;H7&amp;"", DB!$A:$N, 7, FALSE)="","-",VLOOKUP(E7&amp;"|"&amp;H7&amp;"", DB!$A:$N, 7, FALSE)), "-"))</f>
        <v/>
      </c>
      <c r="Q7" s="34" t="str">
        <f>IF(OR(E7="", H7=""), "", IFERROR(IF(VLOOKUP(E7&amp;"|"&amp;H7&amp;"", DB!$A:$N, 8, FALSE)="","-",VLOOKUP(E7&amp;"|"&amp;H7&amp;"", DB!$A:$N, 8, FALSE)), "-"))</f>
        <v/>
      </c>
      <c r="R7" s="34" t="str">
        <f>IF(OR(E7="", H7=""), "", IFERROR(IF(VLOOKUP(E7&amp;"|"&amp;H7&amp;"", DB!$A:$N, 9, FALSE)="","-",VLOOKUP(E7&amp;"|"&amp;H7&amp;"", DB!$A:$N, 9, FALSE)), "-"))</f>
        <v/>
      </c>
      <c r="S7" s="34" t="str">
        <f>IF(OR(E7="", H7=""), "", IFERROR(IF(VLOOKUP(E7&amp;"|"&amp;H7&amp;"", DB!$A:$N, 10, FALSE)="","-",VLOOKUP(E7&amp;"|"&amp;H7&amp;"", DB!$A:$N, 10, FALSE)), "-"))</f>
        <v/>
      </c>
      <c r="T7" s="34" t="str">
        <f>IF(OR(E7="", H7=""), "", IFERROR(IF(VLOOKUP(E7&amp;"|"&amp;H7&amp;"", DB!$A:$N, 11, FALSE)="","-",VLOOKUP(E7&amp;"|"&amp;H7&amp;"", DB!$A:$N, 11, FALSE)), "-"))</f>
        <v/>
      </c>
      <c r="U7" s="34" t="str">
        <f>IF(OR(E7="", H7=""), "", IFERROR(IF(VLOOKUP(E7&amp;"|"&amp;H7&amp;"", DB!$A:$N, 12, FALSE)="","-",VLOOKUP(E7&amp;"|"&amp;H7&amp;"", DB!$A:$N, 12, FALSE)), "-"))</f>
        <v/>
      </c>
      <c r="V7" s="34" t="s">
        <v>45</v>
      </c>
    </row>
    <row r="8" spans="1:22">
      <c r="A8" s="35" t="s">
        <v>46</v>
      </c>
      <c r="B8" s="3" t="s">
        <v>47</v>
      </c>
      <c r="C8" s="35" t="s">
        <v>32</v>
      </c>
      <c r="D8" s="34" t="str">
        <f>IF(OR(E8="", H8=""), V8, IFERROR(IF(VLOOKUP(E8&amp;"|"&amp;H8&amp;"", DB!$A:$N, 4, FALSE)="", V8, VLOOKUP(E8&amp;"|"&amp;H8&amp;"", DB!$A:$N, 4, FALSE)), V8))</f>
        <v>[B7651] Brefeldin A</v>
      </c>
      <c r="E8" s="34" t="s">
        <v>207</v>
      </c>
      <c r="F8" s="35" t="s">
        <v>43</v>
      </c>
      <c r="G8" s="35" t="str">
        <f>IF(OR(E8="", H8=""), "", IFERROR(VLOOKUP(E8&amp;"|"&amp;H8&amp;"", DB!$A:$N, 5, FALSE), ""))</f>
        <v>Manual Input Required</v>
      </c>
      <c r="H8" s="3" t="s">
        <v>208</v>
      </c>
      <c r="I8" s="35"/>
      <c r="J8" s="35" t="str">
        <f>IFERROR(IF(OR(VLOOKUP(E8&amp;"|"&amp;H8&amp;"", DB!$A:$N, 6, FALSE)="", VLOOKUP(E8&amp;"|"&amp;H8&amp;"", DB!$A:$N, 6, FALSE)="-"), "", VLOOKUP(E8&amp;"|"&amp;H8&amp;"", DB!$A:$N, 6, FALSE)), "")</f>
        <v/>
      </c>
      <c r="K8" s="35"/>
      <c r="L8" s="35">
        <v>2</v>
      </c>
      <c r="M8" s="35"/>
      <c r="N8" s="35">
        <f t="shared" si="0"/>
        <v>2</v>
      </c>
      <c r="O8" s="34"/>
      <c r="P8" s="34" t="str">
        <f>IF(OR(E8="", H8=""), "", IFERROR(IF(VLOOKUP(E8&amp;"|"&amp;H8&amp;"", DB!$A:$N, 7, FALSE)="","-",VLOOKUP(E8&amp;"|"&amp;H8&amp;"", DB!$A:$N, 7, FALSE)), "-"))</f>
        <v>-</v>
      </c>
      <c r="Q8" s="34" t="str">
        <f>IF(OR(E8="", H8=""), "", IFERROR(IF(VLOOKUP(E8&amp;"|"&amp;H8&amp;"", DB!$A:$N, 8, FALSE)="","-",VLOOKUP(E8&amp;"|"&amp;H8&amp;"", DB!$A:$N, 8, FALSE)), "-"))</f>
        <v>-</v>
      </c>
      <c r="R8" s="34" t="str">
        <f>IF(OR(E8="", H8=""), "", IFERROR(IF(VLOOKUP(E8&amp;"|"&amp;H8&amp;"", DB!$A:$N, 9, FALSE)="","-",VLOOKUP(E8&amp;"|"&amp;H8&amp;"", DB!$A:$N, 9, FALSE)), "-"))</f>
        <v>-</v>
      </c>
      <c r="S8" s="34" t="str">
        <f>IF(OR(E8="", H8=""), "", IFERROR(IF(VLOOKUP(E8&amp;"|"&amp;H8&amp;"", DB!$A:$N, 10, FALSE)="","-",VLOOKUP(E8&amp;"|"&amp;H8&amp;"", DB!$A:$N, 10, FALSE)), "-"))</f>
        <v>-</v>
      </c>
      <c r="T8" s="34" t="str">
        <f>IF(OR(E8="", H8=""), "", IFERROR(IF(VLOOKUP(E8&amp;"|"&amp;H8&amp;"", DB!$A:$N, 11, FALSE)="","-",VLOOKUP(E8&amp;"|"&amp;H8&amp;"", DB!$A:$N, 11, FALSE)), "-"))</f>
        <v>-</v>
      </c>
      <c r="U8" s="34" t="str">
        <f>IF(OR(E8="", H8=""), "", IFERROR(IF(VLOOKUP(E8&amp;"|"&amp;H8&amp;"", DB!$A:$N, 12, FALSE)="","-",VLOOKUP(E8&amp;"|"&amp;H8&amp;"", DB!$A:$N, 12, FALSE)), "-"))</f>
        <v>-</v>
      </c>
      <c r="V8" s="34" t="s">
        <v>45</v>
      </c>
    </row>
    <row r="9" spans="1:22">
      <c r="A9" s="35" t="s">
        <v>49</v>
      </c>
      <c r="B9" s="3" t="s">
        <v>47</v>
      </c>
      <c r="C9" s="35" t="s">
        <v>32</v>
      </c>
      <c r="D9" s="34" t="str">
        <f>IF(OR(E9="", H9=""), V9, IFERROR(IF(VLOOKUP(E9&amp;"|"&amp;H9&amp;"", DB!$A:$N, 4, FALSE)="", V9, VLOOKUP(E9&amp;"|"&amp;H9&amp;"", DB!$A:$N, 4, FALSE)), V9))</f>
        <v>[B7651] Brefeldin A</v>
      </c>
      <c r="E9" s="34" t="s">
        <v>207</v>
      </c>
      <c r="F9" s="35" t="s">
        <v>43</v>
      </c>
      <c r="G9" s="35" t="str">
        <f>IF(OR(E9="", H9=""), "", IFERROR(VLOOKUP(E9&amp;"|"&amp;H9&amp;"", DB!$A:$N, 5, FALSE), ""))</f>
        <v>Manual Input Required</v>
      </c>
      <c r="H9" s="3" t="s">
        <v>208</v>
      </c>
      <c r="I9" s="35">
        <v>1018</v>
      </c>
      <c r="J9" s="35" t="str">
        <f>IFERROR(IF(OR(VLOOKUP(E9&amp;"|"&amp;H9&amp;"", DB!$A:$N, 6, FALSE)="", VLOOKUP(E9&amp;"|"&amp;H9&amp;"", DB!$A:$N, 6, FALSE)="-"), "", VLOOKUP(E9&amp;"|"&amp;H9&amp;"", DB!$A:$N, 6, FALSE)), "")</f>
        <v/>
      </c>
      <c r="K9" s="35" t="s">
        <v>37</v>
      </c>
      <c r="L9" s="35">
        <v>2</v>
      </c>
      <c r="M9" s="35"/>
      <c r="N9" s="35">
        <f t="shared" si="0"/>
        <v>2</v>
      </c>
      <c r="O9" s="34"/>
      <c r="P9" s="34" t="str">
        <f>IF(OR(E9="", H9=""), "", IFERROR(IF(VLOOKUP(E9&amp;"|"&amp;H9&amp;"", DB!$A:$N, 7, FALSE)="","-",VLOOKUP(E9&amp;"|"&amp;H9&amp;"", DB!$A:$N, 7, FALSE)), "-"))</f>
        <v>-</v>
      </c>
      <c r="Q9" s="34" t="str">
        <f>IF(OR(E9="", H9=""), "", IFERROR(IF(VLOOKUP(E9&amp;"|"&amp;H9&amp;"", DB!$A:$N, 8, FALSE)="","-",VLOOKUP(E9&amp;"|"&amp;H9&amp;"", DB!$A:$N, 8, FALSE)), "-"))</f>
        <v>-</v>
      </c>
      <c r="R9" s="34" t="str">
        <f>IF(OR(E9="", H9=""), "", IFERROR(IF(VLOOKUP(E9&amp;"|"&amp;H9&amp;"", DB!$A:$N, 9, FALSE)="","-",VLOOKUP(E9&amp;"|"&amp;H9&amp;"", DB!$A:$N, 9, FALSE)), "-"))</f>
        <v>-</v>
      </c>
      <c r="S9" s="34" t="str">
        <f>IF(OR(E9="", H9=""), "", IFERROR(IF(VLOOKUP(E9&amp;"|"&amp;H9&amp;"", DB!$A:$N, 10, FALSE)="","-",VLOOKUP(E9&amp;"|"&amp;H9&amp;"", DB!$A:$N, 10, FALSE)), "-"))</f>
        <v>-</v>
      </c>
      <c r="T9" s="34" t="str">
        <f>IF(OR(E9="", H9=""), "", IFERROR(IF(VLOOKUP(E9&amp;"|"&amp;H9&amp;"", DB!$A:$N, 11, FALSE)="","-",VLOOKUP(E9&amp;"|"&amp;H9&amp;"", DB!$A:$N, 11, FALSE)), "-"))</f>
        <v>-</v>
      </c>
      <c r="U9" s="34" t="str">
        <f>IF(OR(E9="", H9=""), "", IFERROR(IF(VLOOKUP(E9&amp;"|"&amp;H9&amp;"", DB!$A:$N, 12, FALSE)="","-",VLOOKUP(E9&amp;"|"&amp;H9&amp;"", DB!$A:$N, 12, FALSE)), "-"))</f>
        <v>-</v>
      </c>
      <c r="V9" s="34" t="s">
        <v>45</v>
      </c>
    </row>
    <row r="10" spans="1:22">
      <c r="A10" s="35"/>
      <c r="B10" s="3"/>
      <c r="C10" s="35" t="s">
        <v>32</v>
      </c>
      <c r="D10" s="34" t="str">
        <f>IF(OR(E10="", H10=""), V10, IFERROR(IF(VLOOKUP(E10&amp;"|"&amp;H10&amp;"", DB!$A:$N, 4, FALSE)="", V10, VLOOKUP(E10&amp;"|"&amp;H10&amp;"", DB!$A:$N, 4, FALSE)), V10))</f>
        <v>[S0809.5000] Sucrose</v>
      </c>
      <c r="E10" s="34"/>
      <c r="F10" s="35"/>
      <c r="G10" s="35" t="str">
        <f>IF(OR(E10="", H10=""), "", IFERROR(VLOOKUP(E10&amp;"|"&amp;H10&amp;"", DB!$A:$N, 5, FALSE), ""))</f>
        <v/>
      </c>
      <c r="H10" s="3"/>
      <c r="I10" s="35">
        <v>1001</v>
      </c>
      <c r="J10" s="35" t="str">
        <f>IF(OR(TRIM(E10)="", TRIM(H10)=""), "", IFERROR(IF(OR(VLOOKUP(E10&amp;"|"&amp;H10&amp;"", DB!$A:$N, 6, FALSE)="", VLOOKUP(E10&amp;"|"&amp;H10&amp;"", DB!$A:$N, 6, FALSE)="-"), "", VLOOKUP(E10&amp;"|"&amp;H10&amp;"", DB!$A:$N, 6, FALSE)), ""))</f>
        <v/>
      </c>
      <c r="K10" s="35" t="s">
        <v>51</v>
      </c>
      <c r="L10" s="35"/>
      <c r="M10" s="35"/>
      <c r="N10" s="35" t="str">
        <f t="shared" si="0"/>
        <v>X</v>
      </c>
      <c r="O10" s="34"/>
      <c r="P10" s="34"/>
      <c r="Q10" s="34"/>
      <c r="R10" s="34"/>
      <c r="S10" s="34"/>
      <c r="T10" s="34"/>
      <c r="U10" s="34"/>
      <c r="V10" s="34" t="s">
        <v>52</v>
      </c>
    </row>
    <row r="11" spans="1:22">
      <c r="A11" s="35" t="s">
        <v>53</v>
      </c>
      <c r="B11" s="3" t="s">
        <v>54</v>
      </c>
      <c r="C11" s="35" t="s">
        <v>32</v>
      </c>
      <c r="D11" s="34" t="str">
        <f>IF(OR(E11="", H11=""), V11, IFERROR(IF(VLOOKUP(E11&amp;"|"&amp;H11&amp;"", DB!$A:$N, 4, FALSE)="", V11, VLOOKUP(E11&amp;"|"&amp;H11&amp;"", DB!$A:$N, 4, FALSE)), V11))</f>
        <v>[S0809.5000] Sucrose</v>
      </c>
      <c r="E11" s="34"/>
      <c r="F11" s="35"/>
      <c r="G11" s="35" t="str">
        <f>IF(OR(E11="", H11=""), "", IFERROR(VLOOKUP(E11&amp;"|"&amp;H11&amp;"", DB!$A:$N, 5, FALSE), ""))</f>
        <v/>
      </c>
      <c r="H11" s="3"/>
      <c r="I11" s="35"/>
      <c r="J11" s="35" t="str">
        <f>IF(OR(TRIM(E11)="", TRIM(H11)=""), "", IFERROR(IF(OR(VLOOKUP(E11&amp;"|"&amp;H11&amp;"", DB!$A:$N, 6, FALSE)="", VLOOKUP(E11&amp;"|"&amp;H11&amp;"", DB!$A:$N, 6, FALSE)="-"), "", VLOOKUP(E11&amp;"|"&amp;H11&amp;"", DB!$A:$N, 6, FALSE)), ""))</f>
        <v/>
      </c>
      <c r="K11" s="35"/>
      <c r="L11" s="35">
        <v>2</v>
      </c>
      <c r="M11" s="35">
        <v>2</v>
      </c>
      <c r="N11" s="35" t="str">
        <f t="shared" si="0"/>
        <v>X</v>
      </c>
      <c r="O11" s="34"/>
      <c r="P11" s="34"/>
      <c r="Q11" s="34"/>
      <c r="R11" s="34"/>
      <c r="S11" s="34"/>
      <c r="T11" s="34"/>
      <c r="U11" s="34"/>
      <c r="V11" s="34" t="s">
        <v>52</v>
      </c>
    </row>
    <row r="12" spans="1:22">
      <c r="A12" s="35"/>
      <c r="B12" s="3"/>
      <c r="C12" s="7"/>
      <c r="D12" s="12" t="str">
        <f>IF(OR(E12="", H12=""), V12, IFERROR(IF(VLOOKUP(E12&amp;"|"&amp;H12&amp;"", DB!$A:$N, 4, FALSE)="", V12, VLOOKUP(E12&amp;"|"&amp;H12&amp;"", DB!$A:$N, 4, FALSE)), V12))</f>
        <v>0.1 M Disodium hydrogenphos</v>
      </c>
      <c r="E12" s="13"/>
      <c r="F12" s="6"/>
      <c r="G12" s="35" t="str">
        <f>IF(OR(E12="", H12=""), "", IFERROR(VLOOKUP(E12&amp;"|"&amp;H12&amp;"", DB!$A:$N, 5, FALSE), ""))</f>
        <v/>
      </c>
      <c r="H12" s="9"/>
      <c r="I12" s="35">
        <v>309</v>
      </c>
      <c r="J12" s="35" t="str">
        <f>IF(OR(TRIM(E12)="", TRIM(H12)=""), "", IFERROR(IF(OR(VLOOKUP(E12&amp;"|"&amp;H12&amp;"", DB!$A:$N, 6, FALSE)="", VLOOKUP(E12&amp;"|"&amp;H12&amp;"", DB!$A:$N, 6, FALSE)="-"), "", VLOOKUP(E12&amp;"|"&amp;H12&amp;"", DB!$A:$N, 6, FALSE)), ""))</f>
        <v/>
      </c>
      <c r="K12" s="35" t="s">
        <v>51</v>
      </c>
      <c r="L12" s="6">
        <v>1</v>
      </c>
      <c r="M12" s="35"/>
      <c r="N12" s="35">
        <f t="shared" si="0"/>
        <v>1</v>
      </c>
      <c r="O12" s="34"/>
      <c r="P12" s="34"/>
      <c r="Q12" s="34"/>
      <c r="R12" s="34"/>
      <c r="S12" s="34"/>
      <c r="T12" s="34"/>
      <c r="U12" s="34"/>
      <c r="V12" s="34" t="s">
        <v>56</v>
      </c>
    </row>
    <row r="13" spans="1:22">
      <c r="A13" s="35"/>
      <c r="B13" s="3"/>
      <c r="C13" s="7"/>
      <c r="D13" s="12" t="str">
        <f>IF(OR(E13="", H13=""), V13, IFERROR(IF(VLOOKUP(E13&amp;"|"&amp;H13&amp;"", DB!$A:$N, 4, FALSE)="", V13, VLOOKUP(E13&amp;"|"&amp;H13&amp;"", DB!$A:$N, 4, FALSE)), V13))</f>
        <v>0.1 M Sodium phosphate</v>
      </c>
      <c r="E13" s="13" t="s">
        <v>209</v>
      </c>
      <c r="F13" s="6"/>
      <c r="G13" s="35" t="str">
        <f>IF(OR(E13="", H13=""), "", IFERROR(VLOOKUP(E13&amp;"|"&amp;H13&amp;"", DB!$A:$N, 5, FALSE), ""))</f>
        <v/>
      </c>
      <c r="H13" s="9"/>
      <c r="I13" s="35">
        <v>1018</v>
      </c>
      <c r="J13" s="35" t="str">
        <f>IF(OR(TRIM(E13)="", TRIM(H13)=""), "", IFERROR(IF(OR(VLOOKUP(E13&amp;"|"&amp;H13&amp;"", DB!$A:$N, 6, FALSE)="", VLOOKUP(E13&amp;"|"&amp;H13&amp;"", DB!$A:$N, 6, FALSE)="-"), "", VLOOKUP(E13&amp;"|"&amp;H13&amp;"", DB!$A:$N, 6, FALSE)), ""))</f>
        <v/>
      </c>
      <c r="K13" s="35" t="s">
        <v>25</v>
      </c>
      <c r="L13" s="6">
        <v>1</v>
      </c>
      <c r="M13" s="35"/>
      <c r="N13" s="35">
        <f t="shared" si="0"/>
        <v>1</v>
      </c>
      <c r="O13" s="34"/>
      <c r="P13" s="34"/>
      <c r="Q13" s="34"/>
      <c r="R13" s="34"/>
      <c r="S13" s="34"/>
      <c r="T13" s="34"/>
      <c r="U13" s="34"/>
      <c r="V13" s="34" t="s">
        <v>58</v>
      </c>
    </row>
    <row r="14" spans="1:22">
      <c r="A14" s="35"/>
      <c r="B14" s="3"/>
      <c r="C14" s="7"/>
      <c r="D14" s="12">
        <f>IF(OR(E14="", H14=""), V14, IFERROR(IF(VLOOKUP(E14&amp;"|"&amp;H14&amp;"", DB!$A:$N, 4, FALSE)="", V14, VLOOKUP(E14&amp;"|"&amp;H14&amp;"", DB!$A:$N, 4, FALSE)), V14))</f>
        <v>33</v>
      </c>
      <c r="E14" s="13" t="s">
        <v>202</v>
      </c>
      <c r="F14" s="6" t="s">
        <v>27</v>
      </c>
      <c r="G14" s="35" t="str">
        <f>IF(OR(E14="", H14=""), "", IFERROR(VLOOKUP(E14&amp;"|"&amp;H14&amp;"", DB!$A:$N, 5, FALSE), ""))</f>
        <v/>
      </c>
      <c r="H14" s="9"/>
      <c r="I14" s="35">
        <v>309</v>
      </c>
      <c r="J14" s="35" t="str">
        <f>IF(OR(TRIM(E14)="", TRIM(H14)=""), "", IFERROR(IF(OR(VLOOKUP(E14&amp;"|"&amp;H14&amp;"", DB!$A:$N, 6, FALSE)="", VLOOKUP(E14&amp;"|"&amp;H14&amp;"", DB!$A:$N, 6, FALSE)="-"), "", VLOOKUP(E14&amp;"|"&amp;H14&amp;"", DB!$A:$N, 6, FALSE)), ""))</f>
        <v/>
      </c>
      <c r="K14" s="35" t="s">
        <v>51</v>
      </c>
      <c r="L14" s="6">
        <v>1</v>
      </c>
      <c r="M14" s="35"/>
      <c r="N14" s="35">
        <f t="shared" si="0"/>
        <v>1</v>
      </c>
      <c r="O14" s="34"/>
      <c r="P14" s="34" t="str">
        <f>IF(OR(E14="", H14=""), "", IFERROR(IF(VLOOKUP(E14&amp;"|"&amp;H14&amp;"", DB!$A:$N, 7, FALSE)="","-",VLOOKUP(E14&amp;"|"&amp;H14&amp;"", DB!$A:$N, 7, FALSE)), "-"))</f>
        <v/>
      </c>
      <c r="Q14" s="34" t="str">
        <f>IF(OR(E14="", H14=""), "", IFERROR(IF(VLOOKUP(E14&amp;"|"&amp;H14&amp;"", DB!$A:$N, 8, FALSE)="","-",VLOOKUP(E14&amp;"|"&amp;H14&amp;"", DB!$A:$N, 8, FALSE)), "-"))</f>
        <v/>
      </c>
      <c r="R14" s="34" t="str">
        <f>IF(OR(E14="", H14=""), "", IFERROR(IF(VLOOKUP(E14&amp;"|"&amp;H14&amp;"", DB!$A:$N, 9, FALSE)="","-",VLOOKUP(E14&amp;"|"&amp;H14&amp;"", DB!$A:$N, 9, FALSE)), "-"))</f>
        <v/>
      </c>
      <c r="S14" s="34" t="str">
        <f>IF(OR(E14="", H14=""), "", IFERROR(IF(VLOOKUP(E14&amp;"|"&amp;H14&amp;"", DB!$A:$N, 10, FALSE)="","-",VLOOKUP(E14&amp;"|"&amp;H14&amp;"", DB!$A:$N, 10, FALSE)), "-"))</f>
        <v/>
      </c>
      <c r="T14" s="34" t="str">
        <f>IF(OR(E14="", H14=""), "", IFERROR(IF(VLOOKUP(E14&amp;"|"&amp;H14&amp;"", DB!$A:$N, 11, FALSE)="","-",VLOOKUP(E14&amp;"|"&amp;H14&amp;"", DB!$A:$N, 11, FALSE)), "-"))</f>
        <v/>
      </c>
      <c r="U14" s="34" t="str">
        <f>IF(OR(E14="", H14=""), "", IFERROR(IF(VLOOKUP(E14&amp;"|"&amp;H14&amp;"", DB!$A:$N, 12, FALSE)="","-",VLOOKUP(E14&amp;"|"&amp;H14&amp;"", DB!$A:$N, 12, FALSE)), "-"))</f>
        <v/>
      </c>
      <c r="V14" s="34">
        <v>33</v>
      </c>
    </row>
    <row r="15" spans="1:22">
      <c r="A15" s="35"/>
      <c r="B15" s="3"/>
      <c r="C15" s="7"/>
      <c r="D15" s="12" t="str">
        <f>IF(OR(E15="", H15=""), V15, IFERROR(IF(VLOOKUP(E15&amp;"|"&amp;H15&amp;"", DB!$A:$N, 4, FALSE)="", V15, VLOOKUP(E15&amp;"|"&amp;H15&amp;"", DB!$A:$N, 4, FALSE)), V15))</f>
        <v>1,10-Phenanthroline</v>
      </c>
      <c r="E15" s="13" t="s">
        <v>202</v>
      </c>
      <c r="F15" s="6" t="s">
        <v>59</v>
      </c>
      <c r="G15" s="35" t="str">
        <f>IF(OR(E15="", H15=""), "", IFERROR(VLOOKUP(E15&amp;"|"&amp;H15&amp;"", DB!$A:$N, 5, FALSE), ""))</f>
        <v>66-71-7</v>
      </c>
      <c r="H15" s="9" t="s">
        <v>210</v>
      </c>
      <c r="I15" s="35">
        <v>1018</v>
      </c>
      <c r="J15" s="35" t="str">
        <f>IFERROR(IF(OR(VLOOKUP(E15&amp;"|"&amp;H15&amp;"", DB!$A:$N, 6, FALSE)="", VLOOKUP(E15&amp;"|"&amp;H15&amp;"", DB!$A:$N, 6, FALSE)="-"), "", VLOOKUP(E15&amp;"|"&amp;H15&amp;"", DB!$A:$N, 6, FALSE)), "")</f>
        <v/>
      </c>
      <c r="K15" s="35" t="s">
        <v>44</v>
      </c>
      <c r="L15" s="6">
        <v>1</v>
      </c>
      <c r="M15" s="35"/>
      <c r="N15" s="35">
        <f t="shared" si="0"/>
        <v>1</v>
      </c>
      <c r="O15" s="34"/>
      <c r="P15" s="34" t="str">
        <f>IF(OR(E15="", H15=""), "", IFERROR(IF(VLOOKUP(E15&amp;"|"&amp;H15&amp;"", DB!$A:$N, 7, FALSE)="","-",VLOOKUP(E15&amp;"|"&amp;H15&amp;"", DB!$A:$N, 7, FALSE)), "-"))</f>
        <v>-</v>
      </c>
      <c r="Q15" s="34" t="str">
        <f>IF(OR(E15="", H15=""), "", IFERROR(IF(VLOOKUP(E15&amp;"|"&amp;H15&amp;"", DB!$A:$N, 8, FALSE)="","-",VLOOKUP(E15&amp;"|"&amp;H15&amp;"", DB!$A:$N, 8, FALSE)), "-"))</f>
        <v>-</v>
      </c>
      <c r="R15" s="15" t="str">
        <f>IF(OR(E15="", H15=""), "", IFERROR(IF(VLOOKUP(E15&amp;"|"&amp;H15&amp;"", DB!$A:$N, 9, FALSE)="","-",VLOOKUP(E15&amp;"|"&amp;H15&amp;"", DB!$A:$N, 9, FALSE)), "-"))</f>
        <v>● Toxic, ■ Environmental Hazard</v>
      </c>
      <c r="S15" s="34" t="str">
        <f>IF(OR(E15="", H15=""), "", IFERROR(IF(VLOOKUP(E15&amp;"|"&amp;H15&amp;"", DB!$A:$N, 10, FALSE)="","-",VLOOKUP(E15&amp;"|"&amp;H15&amp;"", DB!$A:$N, 10, FALSE)), "-"))</f>
        <v>H410: Very toxic to aquatic life with long lasting effects / H301: Toxic if swallowed</v>
      </c>
      <c r="T15" s="34" t="str">
        <f>IF(OR(E15="", H15=""), "", IFERROR(IF(VLOOKUP(E15&amp;"|"&amp;H15&amp;"", DB!$A:$N, 11, FALSE)="","-",VLOOKUP(E15&amp;"|"&amp;H15&amp;"", DB!$A:$N, 11, FALSE)), "-"))</f>
        <v>https://www.sigmaaldrich.com/KR/en/product/aldrich/131377</v>
      </c>
      <c r="U15" s="34" t="str">
        <f>IF(OR(E15="", H15=""), "", IFERROR(IF(VLOOKUP(E15&amp;"|"&amp;H15&amp;"", DB!$A:$N, 12, FALSE)="","-",VLOOKUP(E15&amp;"|"&amp;H15&amp;"", DB!$A:$N, 12, FALSE)), "-"))</f>
        <v>https://www.sigmaaldrich.com/KR/ko/sds/aldrich/131377</v>
      </c>
      <c r="V15" s="34" t="s">
        <v>60</v>
      </c>
    </row>
    <row r="16" spans="1:22">
      <c r="A16" s="35" t="s">
        <v>61</v>
      </c>
      <c r="B16" s="3" t="s">
        <v>62</v>
      </c>
      <c r="C16" s="35" t="s">
        <v>35</v>
      </c>
      <c r="D16" s="34" t="str">
        <f>IF(OR(E16="", H16=""), V16, IFERROR(IF(VLOOKUP(E16&amp;"|"&amp;H16&amp;"", DB!$A:$N, 4, FALSE)="", V16, VLOOKUP(E16&amp;"|"&amp;H16&amp;"", DB!$A:$N, 4, FALSE)), V16))</f>
        <v>Acrylamide</v>
      </c>
      <c r="E16" s="34"/>
      <c r="F16" s="35"/>
      <c r="G16" s="35" t="str">
        <f>IF(OR(E16="", H16=""), "", IFERROR(VLOOKUP(E16&amp;"|"&amp;H16&amp;"", DB!$A:$N, 5, FALSE), ""))</f>
        <v/>
      </c>
      <c r="H16" s="3"/>
      <c r="I16" s="35"/>
      <c r="J16" s="35" t="str">
        <f>IF(OR(TRIM(E16)="", TRIM(H16)=""), "", IFERROR(IF(OR(VLOOKUP(E16&amp;"|"&amp;H16&amp;"", DB!$A:$N, 6, FALSE)="", VLOOKUP(E16&amp;"|"&amp;H16&amp;"", DB!$A:$N, 6, FALSE)="-"), "", VLOOKUP(E16&amp;"|"&amp;H16&amp;"", DB!$A:$N, 6, FALSE)), ""))</f>
        <v/>
      </c>
      <c r="K16" s="35"/>
      <c r="L16" s="35"/>
      <c r="M16" s="35"/>
      <c r="N16" s="35" t="str">
        <f t="shared" si="0"/>
        <v>X</v>
      </c>
      <c r="O16" s="34"/>
      <c r="P16" s="34"/>
      <c r="Q16" s="34"/>
      <c r="R16" s="34"/>
      <c r="S16" s="34"/>
      <c r="T16" s="34"/>
      <c r="U16" s="34"/>
      <c r="V16" s="34" t="s">
        <v>63</v>
      </c>
    </row>
    <row r="17" spans="1:22">
      <c r="A17" s="35"/>
      <c r="B17" s="3"/>
      <c r="C17" s="35" t="s">
        <v>64</v>
      </c>
      <c r="D17" s="34" t="str">
        <f>IF(OR(E17="", H17=""), V17, IFERROR(IF(VLOOKUP(E17&amp;"|"&amp;H17&amp;"", DB!$A:$N, 4, FALSE)="", V17, VLOOKUP(E17&amp;"|"&amp;H17&amp;"", DB!$A:$N, 4, FALSE)), V17))</f>
        <v>Alexa Fluor® 488 anti- mouse CD4 Antibody</v>
      </c>
      <c r="E17" s="34"/>
      <c r="F17" s="35"/>
      <c r="G17" s="35" t="str">
        <f>IF(OR(E17="", H17=""), "", IFERROR(VLOOKUP(E17&amp;"|"&amp;H17&amp;"", DB!$A:$N, 5, FALSE), ""))</f>
        <v/>
      </c>
      <c r="H17" s="3"/>
      <c r="I17" s="35">
        <v>1001</v>
      </c>
      <c r="J17" s="35" t="str">
        <f>IF(OR(TRIM(E17)="", TRIM(H17)=""), "", IFERROR(IF(OR(VLOOKUP(E17&amp;"|"&amp;H17&amp;"", DB!$A:$N, 6, FALSE)="", VLOOKUP(E17&amp;"|"&amp;H17&amp;"", DB!$A:$N, 6, FALSE)="-"), "", VLOOKUP(E17&amp;"|"&amp;H17&amp;"", DB!$A:$N, 6, FALSE)), ""))</f>
        <v/>
      </c>
      <c r="K17" s="35" t="s">
        <v>25</v>
      </c>
      <c r="L17" s="35"/>
      <c r="M17" s="35"/>
      <c r="N17" s="35" t="str">
        <f t="shared" si="0"/>
        <v>X</v>
      </c>
      <c r="O17" s="34"/>
      <c r="P17" s="34"/>
      <c r="Q17" s="34"/>
      <c r="R17" s="34"/>
      <c r="S17" s="34"/>
      <c r="T17" s="34"/>
      <c r="U17" s="34"/>
      <c r="V17" s="34" t="s">
        <v>66</v>
      </c>
    </row>
    <row r="18" spans="1:22">
      <c r="A18" s="35" t="s">
        <v>67</v>
      </c>
      <c r="B18" s="3" t="s">
        <v>68</v>
      </c>
      <c r="C18" s="35" t="s">
        <v>64</v>
      </c>
      <c r="D18" s="34" t="str">
        <f>IF(OR(E18="", H18=""), V18, IFERROR(IF(VLOOKUP(E18&amp;"|"&amp;H18&amp;"", DB!$A:$N, 4, FALSE)="", V18, VLOOKUP(E18&amp;"|"&amp;H18&amp;"", DB!$A:$N, 4, FALSE)), V18))</f>
        <v>Alexa Fluor® 488 anti- mouse CD4 Antibody</v>
      </c>
      <c r="E18" s="34"/>
      <c r="F18" s="35"/>
      <c r="G18" s="35" t="str">
        <f>IF(OR(E18="", H18=""), "", IFERROR(VLOOKUP(E18&amp;"|"&amp;H18&amp;"", DB!$A:$N, 5, FALSE), ""))</f>
        <v/>
      </c>
      <c r="H18" s="3"/>
      <c r="I18" s="35"/>
      <c r="J18" s="35" t="str">
        <f>IF(OR(TRIM(E18)="", TRIM(H18)=""), "", IFERROR(IF(OR(VLOOKUP(E18&amp;"|"&amp;H18&amp;"", DB!$A:$N, 6, FALSE)="", VLOOKUP(E18&amp;"|"&amp;H18&amp;"", DB!$A:$N, 6, FALSE)="-"), "", VLOOKUP(E18&amp;"|"&amp;H18&amp;"", DB!$A:$N, 6, FALSE)), ""))</f>
        <v/>
      </c>
      <c r="K18" s="35"/>
      <c r="L18" s="35"/>
      <c r="M18" s="35"/>
      <c r="N18" s="35" t="str">
        <f t="shared" si="0"/>
        <v>X</v>
      </c>
      <c r="O18" s="34"/>
      <c r="P18" s="34"/>
      <c r="Q18" s="34"/>
      <c r="R18" s="34"/>
      <c r="S18" s="34"/>
      <c r="T18" s="34"/>
      <c r="U18" s="34"/>
      <c r="V18" s="34" t="s">
        <v>66</v>
      </c>
    </row>
    <row r="19" spans="1:22">
      <c r="A19" s="35"/>
      <c r="B19" s="3"/>
      <c r="C19" s="35" t="s">
        <v>69</v>
      </c>
      <c r="D19" s="34" t="str">
        <f>IF(OR(E19="", H19=""), V19, IFERROR(IF(VLOOKUP(E19&amp;"|"&amp;H19&amp;"", DB!$A:$N, 4, FALSE)="", V19, VLOOKUP(E19&amp;"|"&amp;H19&amp;"", DB!$A:$N, 4, FALSE)), V19))</f>
        <v>bb</v>
      </c>
      <c r="E19" s="34" t="s">
        <v>202</v>
      </c>
      <c r="F19" s="35" t="s">
        <v>70</v>
      </c>
      <c r="G19" s="35" t="str">
        <f>IF(OR(E19="", H19=""), "", IFERROR(VLOOKUP(E19&amp;"|"&amp;H19&amp;"", DB!$A:$N, 5, FALSE), ""))</f>
        <v/>
      </c>
      <c r="H19" s="3"/>
      <c r="I19" s="35">
        <v>309</v>
      </c>
      <c r="J19" s="35" t="str">
        <f>IF(OR(TRIM(E19)="", TRIM(H19)=""), "", IFERROR(IF(OR(VLOOKUP(E19&amp;"|"&amp;H19&amp;"", DB!$A:$N, 6, FALSE)="", VLOOKUP(E19&amp;"|"&amp;H19&amp;"", DB!$A:$N, 6, FALSE)="-"), "", VLOOKUP(E19&amp;"|"&amp;H19&amp;"", DB!$A:$N, 6, FALSE)), ""))</f>
        <v/>
      </c>
      <c r="K19" s="35" t="s">
        <v>51</v>
      </c>
      <c r="L19" s="35">
        <v>4</v>
      </c>
      <c r="M19" s="35"/>
      <c r="N19" s="35">
        <f t="shared" si="0"/>
        <v>4</v>
      </c>
      <c r="O19" s="34"/>
      <c r="P19" s="34" t="str">
        <f>IF(OR(E19="", H19=""), "", IFERROR(IF(VLOOKUP(E19&amp;"|"&amp;H19&amp;"", DB!$A:$N, 7, FALSE)="","-",VLOOKUP(E19&amp;"|"&amp;H19&amp;"", DB!$A:$N, 7, FALSE)), "-"))</f>
        <v/>
      </c>
      <c r="Q19" s="34" t="str">
        <f>IF(OR(E19="", H19=""), "", IFERROR(IF(VLOOKUP(E19&amp;"|"&amp;H19&amp;"", DB!$A:$N, 8, FALSE)="","-",VLOOKUP(E19&amp;"|"&amp;H19&amp;"", DB!$A:$N, 8, FALSE)), "-"))</f>
        <v/>
      </c>
      <c r="R19" s="34" t="str">
        <f>IF(OR(E19="", H19=""), "", IFERROR(IF(VLOOKUP(E19&amp;"|"&amp;H19&amp;"", DB!$A:$N, 9, FALSE)="","-",VLOOKUP(E19&amp;"|"&amp;H19&amp;"", DB!$A:$N, 9, FALSE)), "-"))</f>
        <v/>
      </c>
      <c r="S19" s="34" t="str">
        <f>IF(OR(E19="", H19=""), "", IFERROR(IF(VLOOKUP(E19&amp;"|"&amp;H19&amp;"", DB!$A:$N, 10, FALSE)="","-",VLOOKUP(E19&amp;"|"&amp;H19&amp;"", DB!$A:$N, 10, FALSE)), "-"))</f>
        <v/>
      </c>
      <c r="T19" s="34" t="str">
        <f>IF(OR(E19="", H19=""), "", IFERROR(IF(VLOOKUP(E19&amp;"|"&amp;H19&amp;"", DB!$A:$N, 11, FALSE)="","-",VLOOKUP(E19&amp;"|"&amp;H19&amp;"", DB!$A:$N, 11, FALSE)), "-"))</f>
        <v/>
      </c>
      <c r="U19" s="34" t="str">
        <f>IF(OR(E19="", H19=""), "", IFERROR(IF(VLOOKUP(E19&amp;"|"&amp;H19&amp;"", DB!$A:$N, 12, FALSE)="","-",VLOOKUP(E19&amp;"|"&amp;H19&amp;"", DB!$A:$N, 12, FALSE)), "-"))</f>
        <v/>
      </c>
      <c r="V19" s="34" t="s">
        <v>71</v>
      </c>
    </row>
    <row r="20" spans="1:22">
      <c r="A20" s="35" t="s">
        <v>72</v>
      </c>
      <c r="B20" s="3" t="s">
        <v>73</v>
      </c>
      <c r="C20" s="35" t="s">
        <v>69</v>
      </c>
      <c r="D20" s="34" t="str">
        <f>IF(OR(E20="", H20=""), V20, IFERROR(IF(VLOOKUP(E20&amp;"|"&amp;H20&amp;"", DB!$A:$N, 4, FALSE)="", V20, VLOOKUP(E20&amp;"|"&amp;H20&amp;"", DB!$A:$N, 4, FALSE)), V20))</f>
        <v>bb</v>
      </c>
      <c r="E20" s="34" t="s">
        <v>202</v>
      </c>
      <c r="F20" s="35" t="s">
        <v>70</v>
      </c>
      <c r="G20" s="35" t="str">
        <f>IF(OR(E20="", H20=""), "", IFERROR(VLOOKUP(E20&amp;"|"&amp;H20&amp;"", DB!$A:$N, 5, FALSE), ""))</f>
        <v>Search Failed</v>
      </c>
      <c r="H20" s="3" t="s">
        <v>211</v>
      </c>
      <c r="I20" s="35">
        <v>309</v>
      </c>
      <c r="J20" s="35" t="str">
        <f>IFERROR(IF(OR(VLOOKUP(E20&amp;"|"&amp;H20&amp;"", DB!$A:$N, 6, FALSE)="", VLOOKUP(E20&amp;"|"&amp;H20&amp;"", DB!$A:$N, 6, FALSE)="-"), "", VLOOKUP(E20&amp;"|"&amp;H20&amp;"", DB!$A:$N, 6, FALSE)), "")</f>
        <v/>
      </c>
      <c r="K20" s="35" t="s">
        <v>25</v>
      </c>
      <c r="L20" s="35">
        <v>4</v>
      </c>
      <c r="M20" s="35"/>
      <c r="N20" s="35">
        <f t="shared" si="0"/>
        <v>4</v>
      </c>
      <c r="O20" s="34"/>
      <c r="P20" s="34" t="str">
        <f>IF(OR(E20="", H20=""), "", IFERROR(IF(VLOOKUP(E20&amp;"|"&amp;H20&amp;"", DB!$A:$N, 7, FALSE)="","-",VLOOKUP(E20&amp;"|"&amp;H20&amp;"", DB!$A:$N, 7, FALSE)), "-"))</f>
        <v>-</v>
      </c>
      <c r="Q20" s="34" t="str">
        <f>IF(OR(E20="", H20=""), "", IFERROR(IF(VLOOKUP(E20&amp;"|"&amp;H20&amp;"", DB!$A:$N, 8, FALSE)="","-",VLOOKUP(E20&amp;"|"&amp;H20&amp;"", DB!$A:$N, 8, FALSE)), "-"))</f>
        <v>-</v>
      </c>
      <c r="R20" s="34" t="str">
        <f>IF(OR(E20="", H20=""), "", IFERROR(IF(VLOOKUP(E20&amp;"|"&amp;H20&amp;"", DB!$A:$N, 9, FALSE)="","-",VLOOKUP(E20&amp;"|"&amp;H20&amp;"", DB!$A:$N, 9, FALSE)), "-"))</f>
        <v>-</v>
      </c>
      <c r="S20" s="34" t="str">
        <f>IF(OR(E20="", H20=""), "", IFERROR(IF(VLOOKUP(E20&amp;"|"&amp;H20&amp;"", DB!$A:$N, 10, FALSE)="","-",VLOOKUP(E20&amp;"|"&amp;H20&amp;"", DB!$A:$N, 10, FALSE)), "-"))</f>
        <v>-</v>
      </c>
      <c r="T20" s="34" t="str">
        <f>IF(OR(E20="", H20=""), "", IFERROR(IF(VLOOKUP(E20&amp;"|"&amp;H20&amp;"", DB!$A:$N, 11, FALSE)="","-",VLOOKUP(E20&amp;"|"&amp;H20&amp;"", DB!$A:$N, 11, FALSE)), "-"))</f>
        <v>Product Not Found</v>
      </c>
      <c r="U20" s="34" t="str">
        <f>IF(OR(E20="", H20=""), "", IFERROR(IF(VLOOKUP(E20&amp;"|"&amp;H20&amp;"", DB!$A:$N, 12, FALSE)="","-",VLOOKUP(E20&amp;"|"&amp;H20&amp;"", DB!$A:$N, 12, FALSE)), "-"))</f>
        <v>-</v>
      </c>
      <c r="V20" s="34" t="s">
        <v>71</v>
      </c>
    </row>
    <row r="21" spans="1:22">
      <c r="A21" s="35" t="s">
        <v>74</v>
      </c>
      <c r="B21" s="3" t="s">
        <v>75</v>
      </c>
      <c r="C21" s="35" t="s">
        <v>76</v>
      </c>
      <c r="D21" s="34" t="str">
        <f>IF(OR(E21="", H21=""), V21, IFERROR(IF(VLOOKUP(E21&amp;"|"&amp;H21&amp;"", DB!$A:$N, 4, FALSE)="", V21, VLOOKUP(E21&amp;"|"&amp;H21&amp;"", DB!$A:$N, 4, FALSE)), V21))</f>
        <v>benzalkonium chloride, 50wt% solution, 500 mL</v>
      </c>
      <c r="E21" s="34"/>
      <c r="F21" s="35"/>
      <c r="G21" s="35" t="str">
        <f>IF(OR(E21="", H21=""), "", IFERROR(VLOOKUP(E21&amp;"|"&amp;H21&amp;"", DB!$A:$N, 5, FALSE), ""))</f>
        <v/>
      </c>
      <c r="H21" s="3"/>
      <c r="I21" s="35">
        <v>1018</v>
      </c>
      <c r="J21" s="35" t="s">
        <v>50</v>
      </c>
      <c r="K21" s="35" t="s">
        <v>37</v>
      </c>
      <c r="L21" s="35"/>
      <c r="M21" s="35"/>
      <c r="N21" s="35" t="str">
        <f t="shared" si="0"/>
        <v>X</v>
      </c>
      <c r="O21" s="34"/>
      <c r="P21" s="34"/>
      <c r="Q21" s="34"/>
      <c r="R21" s="34"/>
      <c r="S21" s="34"/>
      <c r="T21" s="34"/>
      <c r="U21" s="34"/>
      <c r="V21" s="34" t="s">
        <v>77</v>
      </c>
    </row>
    <row r="22" spans="1:22">
      <c r="A22" s="35"/>
      <c r="B22" s="3"/>
      <c r="C22" s="35" t="s">
        <v>78</v>
      </c>
      <c r="D22" s="34" t="str">
        <f>IF(OR(E22="", H22=""), V22, IFERROR(IF(VLOOKUP(E22&amp;"|"&amp;H22&amp;"", DB!$A:$N, 4, FALSE)="", V22, VLOOKUP(E22&amp;"|"&amp;H22&amp;"", DB!$A:$N, 4, FALSE)), V22))</f>
        <v>DMEM * 40ea</v>
      </c>
      <c r="E22" s="34"/>
      <c r="F22" s="35"/>
      <c r="G22" s="35" t="str">
        <f>IF(OR(E22="", H22=""), "", IFERROR(VLOOKUP(E22&amp;"|"&amp;H22&amp;"", DB!$A:$N, 5, FALSE), ""))</f>
        <v/>
      </c>
      <c r="H22" s="3"/>
      <c r="I22" s="35">
        <v>1018</v>
      </c>
      <c r="J22" s="35" t="str">
        <f>IF(OR(TRIM(E22)="", TRIM(H22)=""), "", IFERROR(IF(OR(VLOOKUP(E22&amp;"|"&amp;H22&amp;"", DB!$A:$N, 6, FALSE)="", VLOOKUP(E22&amp;"|"&amp;H22&amp;"", DB!$A:$N, 6, FALSE)="-"), "", VLOOKUP(E22&amp;"|"&amp;H22&amp;"", DB!$A:$N, 6, FALSE)), ""))</f>
        <v/>
      </c>
      <c r="K22" s="35" t="s">
        <v>25</v>
      </c>
      <c r="L22" s="35"/>
      <c r="M22" s="35"/>
      <c r="N22" s="35" t="str">
        <f t="shared" si="0"/>
        <v>X</v>
      </c>
      <c r="O22" s="34"/>
      <c r="P22" s="34"/>
      <c r="Q22" s="34"/>
      <c r="R22" s="34"/>
      <c r="S22" s="34"/>
      <c r="T22" s="34"/>
      <c r="U22" s="34"/>
      <c r="V22" s="34" t="s">
        <v>79</v>
      </c>
    </row>
    <row r="23" spans="1:22">
      <c r="A23" s="35" t="s">
        <v>80</v>
      </c>
      <c r="B23" s="3" t="s">
        <v>81</v>
      </c>
      <c r="C23" s="35" t="s">
        <v>78</v>
      </c>
      <c r="D23" s="34" t="str">
        <f>IF(OR(E23="", H23=""), V23, IFERROR(IF(VLOOKUP(E23&amp;"|"&amp;H23&amp;"", DB!$A:$N, 4, FALSE)="", V23, VLOOKUP(E23&amp;"|"&amp;H23&amp;"", DB!$A:$N, 4, FALSE)), V23))</f>
        <v>DMEM * 40ea</v>
      </c>
      <c r="E23" s="34"/>
      <c r="F23" s="35"/>
      <c r="G23" s="35" t="str">
        <f>IF(OR(E23="", H23=""), "", IFERROR(VLOOKUP(E23&amp;"|"&amp;H23&amp;"", DB!$A:$N, 5, FALSE), ""))</f>
        <v/>
      </c>
      <c r="H23" s="3"/>
      <c r="I23" s="35"/>
      <c r="J23" s="35" t="str">
        <f>IF(OR(TRIM(E23)="", TRIM(H23)=""), "", IFERROR(IF(OR(VLOOKUP(E23&amp;"|"&amp;H23&amp;"", DB!$A:$N, 6, FALSE)="", VLOOKUP(E23&amp;"|"&amp;H23&amp;"", DB!$A:$N, 6, FALSE)="-"), "", VLOOKUP(E23&amp;"|"&amp;H23&amp;"", DB!$A:$N, 6, FALSE)), ""))</f>
        <v/>
      </c>
      <c r="K23" s="35"/>
      <c r="L23" s="35"/>
      <c r="M23" s="35"/>
      <c r="N23" s="35" t="str">
        <f t="shared" si="0"/>
        <v>X</v>
      </c>
      <c r="O23" s="34"/>
      <c r="P23" s="34"/>
      <c r="Q23" s="34"/>
      <c r="R23" s="34"/>
      <c r="S23" s="34"/>
      <c r="T23" s="34"/>
      <c r="U23" s="34"/>
      <c r="V23" s="34" t="s">
        <v>79</v>
      </c>
    </row>
    <row r="24" spans="1:22">
      <c r="A24" s="35" t="s">
        <v>82</v>
      </c>
      <c r="B24" s="3" t="s">
        <v>83</v>
      </c>
      <c r="C24" s="35" t="s">
        <v>84</v>
      </c>
      <c r="D24" s="34" t="str">
        <f>IF(OR(E24="", H24=""), V24, IFERROR(IF(VLOOKUP(E24&amp;"|"&amp;H24&amp;"", DB!$A:$N, 4, FALSE)="", V24, VLOOKUP(E24&amp;"|"&amp;H24&amp;"", DB!$A:$N, 4, FALSE)), V24))</f>
        <v>DTSSP, 3,3'-DITHIOBIS</v>
      </c>
      <c r="E24" s="34"/>
      <c r="F24" s="35"/>
      <c r="G24" s="35" t="str">
        <f>IF(OR(E24="", H24=""), "", IFERROR(VLOOKUP(E24&amp;"|"&amp;H24&amp;"", DB!$A:$N, 5, FALSE), ""))</f>
        <v/>
      </c>
      <c r="H24" s="3"/>
      <c r="I24" s="35"/>
      <c r="J24" s="35" t="str">
        <f>IF(OR(TRIM(E24)="", TRIM(H24)=""), "", IFERROR(IF(OR(VLOOKUP(E24&amp;"|"&amp;H24&amp;"", DB!$A:$N, 6, FALSE)="", VLOOKUP(E24&amp;"|"&amp;H24&amp;"", DB!$A:$N, 6, FALSE)="-"), "", VLOOKUP(E24&amp;"|"&amp;H24&amp;"", DB!$A:$N, 6, FALSE)), ""))</f>
        <v/>
      </c>
      <c r="K24" s="35"/>
      <c r="L24" s="35"/>
      <c r="M24" s="35"/>
      <c r="N24" s="35" t="str">
        <f t="shared" si="0"/>
        <v>X</v>
      </c>
      <c r="O24" s="34"/>
      <c r="P24" s="34"/>
      <c r="Q24" s="34"/>
      <c r="R24" s="34"/>
      <c r="S24" s="34"/>
      <c r="T24" s="34"/>
      <c r="U24" s="34"/>
      <c r="V24" s="34" t="s">
        <v>85</v>
      </c>
    </row>
    <row r="25" spans="1:22">
      <c r="A25" s="35"/>
      <c r="B25" s="3"/>
      <c r="C25" s="35" t="s">
        <v>78</v>
      </c>
      <c r="D25" s="34" t="str">
        <f>IF(OR(E25="", H25=""), V25, IFERROR(IF(VLOOKUP(E25&amp;"|"&amp;H25&amp;"", DB!$A:$N, 4, FALSE)="", V25, VLOOKUP(E25&amp;"|"&amp;H25&amp;"", DB!$A:$N, 4, FALSE)), V25))</f>
        <v>Ezatiostat 5mg</v>
      </c>
      <c r="E25" s="34"/>
      <c r="F25" s="35"/>
      <c r="G25" s="35" t="str">
        <f>IF(OR(E25="", H25=""), "", IFERROR(VLOOKUP(E25&amp;"|"&amp;H25&amp;"", DB!$A:$N, 5, FALSE), ""))</f>
        <v/>
      </c>
      <c r="H25" s="3"/>
      <c r="I25" s="35">
        <v>1001</v>
      </c>
      <c r="J25" s="35" t="str">
        <f>IF(OR(TRIM(E25)="", TRIM(H25)=""), "", IFERROR(IF(OR(VLOOKUP(E25&amp;"|"&amp;H25&amp;"", DB!$A:$N, 6, FALSE)="", VLOOKUP(E25&amp;"|"&amp;H25&amp;"", DB!$A:$N, 6, FALSE)="-"), "", VLOOKUP(E25&amp;"|"&amp;H25&amp;"", DB!$A:$N, 6, FALSE)), ""))</f>
        <v/>
      </c>
      <c r="K25" s="35" t="s">
        <v>37</v>
      </c>
      <c r="L25" s="35"/>
      <c r="M25" s="35"/>
      <c r="N25" s="35" t="str">
        <f t="shared" si="0"/>
        <v>X</v>
      </c>
      <c r="O25" s="34"/>
      <c r="P25" s="34"/>
      <c r="Q25" s="34"/>
      <c r="R25" s="34"/>
      <c r="S25" s="34"/>
      <c r="T25" s="34"/>
      <c r="U25" s="34"/>
      <c r="V25" s="34" t="s">
        <v>86</v>
      </c>
    </row>
    <row r="26" spans="1:22">
      <c r="A26" s="35" t="s">
        <v>87</v>
      </c>
      <c r="B26" s="3" t="s">
        <v>88</v>
      </c>
      <c r="C26" s="35" t="s">
        <v>78</v>
      </c>
      <c r="D26" s="34" t="str">
        <f>IF(OR(E26="", H26=""), V26, IFERROR(IF(VLOOKUP(E26&amp;"|"&amp;H26&amp;"", DB!$A:$N, 4, FALSE)="", V26, VLOOKUP(E26&amp;"|"&amp;H26&amp;"", DB!$A:$N, 4, FALSE)), V26))</f>
        <v>Ezatiostat 5mg</v>
      </c>
      <c r="E26" s="34"/>
      <c r="F26" s="35"/>
      <c r="G26" s="35" t="str">
        <f>IF(OR(E26="", H26=""), "", IFERROR(VLOOKUP(E26&amp;"|"&amp;H26&amp;"", DB!$A:$N, 5, FALSE), ""))</f>
        <v/>
      </c>
      <c r="H26" s="3"/>
      <c r="I26" s="35"/>
      <c r="J26" s="35" t="s">
        <v>57</v>
      </c>
      <c r="K26" s="35"/>
      <c r="L26" s="35"/>
      <c r="M26" s="35"/>
      <c r="N26" s="35" t="str">
        <f t="shared" si="0"/>
        <v>X</v>
      </c>
      <c r="O26" s="34"/>
      <c r="P26" s="34"/>
      <c r="Q26" s="34"/>
      <c r="R26" s="34"/>
      <c r="S26" s="34"/>
      <c r="T26" s="34"/>
      <c r="U26" s="34"/>
      <c r="V26" s="34" t="s">
        <v>86</v>
      </c>
    </row>
    <row r="27" spans="1:22">
      <c r="A27" s="35" t="s">
        <v>89</v>
      </c>
      <c r="B27" s="3" t="s">
        <v>90</v>
      </c>
      <c r="C27" s="35" t="s">
        <v>78</v>
      </c>
      <c r="D27" s="34" t="str">
        <f>IF(OR(E27="", H27=""), V27, IFERROR(IF(VLOOKUP(E27&amp;"|"&amp;H27&amp;"", DB!$A:$N, 4, FALSE)="", V27, VLOOKUP(E27&amp;"|"&amp;H27&amp;"", DB!$A:$N, 4, FALSE)), V27))</f>
        <v>Float A lyzer * 10pk</v>
      </c>
      <c r="E27" s="34"/>
      <c r="F27" s="35"/>
      <c r="G27" s="35" t="str">
        <f>IF(OR(E27="", H27=""), "", IFERROR(VLOOKUP(E27&amp;"|"&amp;H27&amp;"", DB!$A:$N, 5, FALSE), ""))</f>
        <v/>
      </c>
      <c r="H27" s="3"/>
      <c r="I27" s="35"/>
      <c r="J27" s="35" t="str">
        <f>IF(OR(TRIM(E27)="", TRIM(H27)=""), "", IFERROR(IF(OR(VLOOKUP(E27&amp;"|"&amp;H27&amp;"", DB!$A:$N, 6, FALSE)="", VLOOKUP(E27&amp;"|"&amp;H27&amp;"", DB!$A:$N, 6, FALSE)="-"), "", VLOOKUP(E27&amp;"|"&amp;H27&amp;"", DB!$A:$N, 6, FALSE)), ""))</f>
        <v/>
      </c>
      <c r="K27" s="35"/>
      <c r="L27" s="35"/>
      <c r="M27" s="35"/>
      <c r="N27" s="35" t="str">
        <f t="shared" si="0"/>
        <v>X</v>
      </c>
      <c r="O27" s="34"/>
      <c r="P27" s="34"/>
      <c r="Q27" s="34"/>
      <c r="R27" s="34"/>
      <c r="S27" s="34"/>
      <c r="T27" s="34"/>
      <c r="U27" s="34"/>
      <c r="V27" s="34" t="s">
        <v>91</v>
      </c>
    </row>
    <row r="28" spans="1:22">
      <c r="A28" s="35"/>
      <c r="B28" s="3"/>
      <c r="C28" s="35" t="s">
        <v>35</v>
      </c>
      <c r="D28" s="34" t="str">
        <f>IF(OR(E28="", H28=""), V28, IFERROR(IF(VLOOKUP(E28&amp;"|"&amp;H28&amp;"", DB!$A:$N, 4, FALSE)="", V28, VLOOKUP(E28&amp;"|"&amp;H28&amp;"", DB!$A:$N, 4, FALSE)), V28))</f>
        <v>Gelatin from porcine skin</v>
      </c>
      <c r="E28" s="34"/>
      <c r="F28" s="35"/>
      <c r="G28" s="35" t="str">
        <f>IF(OR(E28="", H28=""), "", IFERROR(VLOOKUP(E28&amp;"|"&amp;H28&amp;"", DB!$A:$N, 5, FALSE), ""))</f>
        <v/>
      </c>
      <c r="H28" s="3"/>
      <c r="I28" s="35">
        <v>1001</v>
      </c>
      <c r="J28" s="35" t="str">
        <f>IF(OR(TRIM(E28)="", TRIM(H28)=""), "", IFERROR(IF(OR(VLOOKUP(E28&amp;"|"&amp;H28&amp;"", DB!$A:$N, 6, FALSE)="", VLOOKUP(E28&amp;"|"&amp;H28&amp;"", DB!$A:$N, 6, FALSE)="-"), "", VLOOKUP(E28&amp;"|"&amp;H28&amp;"", DB!$A:$N, 6, FALSE)), ""))</f>
        <v/>
      </c>
      <c r="K28" s="35" t="s">
        <v>37</v>
      </c>
      <c r="L28" s="35"/>
      <c r="M28" s="35"/>
      <c r="N28" s="35" t="str">
        <f t="shared" si="0"/>
        <v>X</v>
      </c>
      <c r="O28" s="34"/>
      <c r="P28" s="34"/>
      <c r="Q28" s="34"/>
      <c r="R28" s="34"/>
      <c r="S28" s="34"/>
      <c r="T28" s="34"/>
      <c r="U28" s="34"/>
      <c r="V28" s="34" t="s">
        <v>92</v>
      </c>
    </row>
    <row r="29" spans="1:22">
      <c r="A29" s="35" t="s">
        <v>93</v>
      </c>
      <c r="B29" s="3" t="s">
        <v>40</v>
      </c>
      <c r="C29" s="35" t="s">
        <v>35</v>
      </c>
      <c r="D29" s="34" t="str">
        <f>IF(OR(E29="", H29=""), V29, IFERROR(IF(VLOOKUP(E29&amp;"|"&amp;H29&amp;"", DB!$A:$N, 4, FALSE)="", V29, VLOOKUP(E29&amp;"|"&amp;H29&amp;"", DB!$A:$N, 4, FALSE)), V29))</f>
        <v>Gelatin from porcine skin</v>
      </c>
      <c r="E29" s="34"/>
      <c r="F29" s="35"/>
      <c r="G29" s="35" t="str">
        <f>IF(OR(E29="", H29=""), "", IFERROR(VLOOKUP(E29&amp;"|"&amp;H29&amp;"", DB!$A:$N, 5, FALSE), ""))</f>
        <v/>
      </c>
      <c r="H29" s="3"/>
      <c r="I29" s="35"/>
      <c r="J29" s="35" t="str">
        <f>IF(OR(TRIM(E29)="", TRIM(H29)=""), "", IFERROR(IF(OR(VLOOKUP(E29&amp;"|"&amp;H29&amp;"", DB!$A:$N, 6, FALSE)="", VLOOKUP(E29&amp;"|"&amp;H29&amp;"", DB!$A:$N, 6, FALSE)="-"), "", VLOOKUP(E29&amp;"|"&amp;H29&amp;"", DB!$A:$N, 6, FALSE)), ""))</f>
        <v/>
      </c>
      <c r="K29" s="35"/>
      <c r="L29" s="35"/>
      <c r="M29" s="35"/>
      <c r="N29" s="35" t="str">
        <f t="shared" si="0"/>
        <v>X</v>
      </c>
      <c r="O29" s="34"/>
      <c r="P29" s="34"/>
      <c r="Q29" s="34"/>
      <c r="R29" s="34"/>
      <c r="S29" s="34"/>
      <c r="T29" s="34"/>
      <c r="U29" s="34"/>
      <c r="V29" s="34" t="s">
        <v>92</v>
      </c>
    </row>
    <row r="30" spans="1:22">
      <c r="A30" s="35"/>
      <c r="B30" s="3"/>
      <c r="C30" s="35" t="s">
        <v>78</v>
      </c>
      <c r="D30" s="34" t="str">
        <f>IF(OR(E30="", H30=""), V30, IFERROR(IF(VLOOKUP(E30&amp;"|"&amp;H30&amp;"", DB!$A:$N, 4, FALSE)="", V30, VLOOKUP(E30&amp;"|"&amp;H30&amp;"", DB!$A:$N, 4, FALSE)), V30))</f>
        <v>Guanidine hydrochloride</v>
      </c>
      <c r="E30" s="34"/>
      <c r="F30" s="35"/>
      <c r="G30" s="35" t="str">
        <f>IF(OR(E30="", H30=""), "", IFERROR(VLOOKUP(E30&amp;"|"&amp;H30&amp;"", DB!$A:$N, 5, FALSE), ""))</f>
        <v/>
      </c>
      <c r="H30" s="3"/>
      <c r="I30" s="35">
        <v>309</v>
      </c>
      <c r="J30" s="35" t="str">
        <f>IF(OR(TRIM(E30)="", TRIM(H30)=""), "", IFERROR(IF(OR(VLOOKUP(E30&amp;"|"&amp;H30&amp;"", DB!$A:$N, 6, FALSE)="", VLOOKUP(E30&amp;"|"&amp;H30&amp;"", DB!$A:$N, 6, FALSE)="-"), "", VLOOKUP(E30&amp;"|"&amp;H30&amp;"", DB!$A:$N, 6, FALSE)), ""))</f>
        <v/>
      </c>
      <c r="K30" s="35" t="s">
        <v>33</v>
      </c>
      <c r="L30" s="35"/>
      <c r="M30" s="35"/>
      <c r="N30" s="35" t="str">
        <f t="shared" si="0"/>
        <v>X</v>
      </c>
      <c r="O30" s="34"/>
      <c r="P30" s="34"/>
      <c r="Q30" s="34"/>
      <c r="R30" s="34"/>
      <c r="S30" s="34"/>
      <c r="T30" s="34"/>
      <c r="U30" s="34"/>
      <c r="V30" s="34" t="s">
        <v>94</v>
      </c>
    </row>
    <row r="31" spans="1:22">
      <c r="A31" s="35" t="s">
        <v>95</v>
      </c>
      <c r="B31" s="3" t="s">
        <v>96</v>
      </c>
      <c r="C31" s="35" t="s">
        <v>78</v>
      </c>
      <c r="D31" s="34" t="str">
        <f>IF(OR(E31="", H31=""), V31, IFERROR(IF(VLOOKUP(E31&amp;"|"&amp;H31&amp;"", DB!$A:$N, 4, FALSE)="", V31, VLOOKUP(E31&amp;"|"&amp;H31&amp;"", DB!$A:$N, 4, FALSE)), V31))</f>
        <v>Guanidine hydrochloride</v>
      </c>
      <c r="E31" s="34"/>
      <c r="F31" s="35"/>
      <c r="G31" s="35" t="str">
        <f>IF(OR(E31="", H31=""), "", IFERROR(VLOOKUP(E31&amp;"|"&amp;H31&amp;"", DB!$A:$N, 5, FALSE), ""))</f>
        <v/>
      </c>
      <c r="H31" s="3"/>
      <c r="I31" s="35"/>
      <c r="J31" s="35" t="str">
        <f>IF(OR(TRIM(E31)="", TRIM(H31)=""), "", IFERROR(IF(OR(VLOOKUP(E31&amp;"|"&amp;H31&amp;"", DB!$A:$N, 6, FALSE)="", VLOOKUP(E31&amp;"|"&amp;H31&amp;"", DB!$A:$N, 6, FALSE)="-"), "", VLOOKUP(E31&amp;"|"&amp;H31&amp;"", DB!$A:$N, 6, FALSE)), ""))</f>
        <v/>
      </c>
      <c r="K31" s="35"/>
      <c r="L31" s="35"/>
      <c r="M31" s="35"/>
      <c r="N31" s="35" t="str">
        <f t="shared" si="0"/>
        <v>X</v>
      </c>
      <c r="O31" s="34"/>
      <c r="P31" s="34"/>
      <c r="Q31" s="34"/>
      <c r="R31" s="34"/>
      <c r="S31" s="34"/>
      <c r="T31" s="34"/>
      <c r="U31" s="34"/>
      <c r="V31" s="34" t="s">
        <v>94</v>
      </c>
    </row>
    <row r="32" spans="1:22">
      <c r="A32" s="35"/>
      <c r="B32" s="3"/>
      <c r="C32" s="35" t="s">
        <v>97</v>
      </c>
      <c r="D32" s="34" t="str">
        <f>IF(OR(E32="", H32=""), V32, IFERROR(IF(VLOOKUP(E32&amp;"|"&amp;H32&amp;"", DB!$A:$N, 4, FALSE)="", V32, VLOOKUP(E32&amp;"|"&amp;H32&amp;"", DB!$A:$N, 4, FALSE)), V32))</f>
        <v>Hydrocortisone-Water Soluble</v>
      </c>
      <c r="E32" s="34"/>
      <c r="F32" s="35"/>
      <c r="G32" s="35" t="str">
        <f>IF(OR(E32="", H32=""), "", IFERROR(VLOOKUP(E32&amp;"|"&amp;H32&amp;"", DB!$A:$N, 5, FALSE), ""))</f>
        <v/>
      </c>
      <c r="H32" s="3"/>
      <c r="I32" s="35">
        <v>1018</v>
      </c>
      <c r="J32" s="35" t="str">
        <f>IF(OR(TRIM(E32)="", TRIM(H32)=""), "", IFERROR(IF(OR(VLOOKUP(E32&amp;"|"&amp;H32&amp;"", DB!$A:$N, 6, FALSE)="", VLOOKUP(E32&amp;"|"&amp;H32&amp;"", DB!$A:$N, 6, FALSE)="-"), "", VLOOKUP(E32&amp;"|"&amp;H32&amp;"", DB!$A:$N, 6, FALSE)), ""))</f>
        <v/>
      </c>
      <c r="K32" s="35" t="s">
        <v>25</v>
      </c>
      <c r="L32" s="35"/>
      <c r="M32" s="35">
        <v>1</v>
      </c>
      <c r="N32" s="35" t="str">
        <f t="shared" si="0"/>
        <v>X</v>
      </c>
      <c r="O32" s="34"/>
      <c r="P32" s="34"/>
      <c r="Q32" s="34"/>
      <c r="R32" s="34"/>
      <c r="S32" s="34"/>
      <c r="T32" s="34"/>
      <c r="U32" s="34"/>
      <c r="V32" s="34" t="s">
        <v>98</v>
      </c>
    </row>
    <row r="33" spans="1:22">
      <c r="A33" s="35" t="s">
        <v>99</v>
      </c>
      <c r="B33" s="3" t="s">
        <v>81</v>
      </c>
      <c r="C33" s="35" t="s">
        <v>97</v>
      </c>
      <c r="D33" s="34" t="str">
        <f>IF(OR(E33="", H33=""), V33, IFERROR(IF(VLOOKUP(E33&amp;"|"&amp;H33&amp;"", DB!$A:$N, 4, FALSE)="", V33, VLOOKUP(E33&amp;"|"&amp;H33&amp;"", DB!$A:$N, 4, FALSE)), V33))</f>
        <v>Hydrocortisone-Water Soluble</v>
      </c>
      <c r="E33" s="34"/>
      <c r="F33" s="35"/>
      <c r="G33" s="35" t="str">
        <f>IF(OR(E33="", H33=""), "", IFERROR(VLOOKUP(E33&amp;"|"&amp;H33&amp;"", DB!$A:$N, 5, FALSE), ""))</f>
        <v/>
      </c>
      <c r="H33" s="3"/>
      <c r="I33" s="35"/>
      <c r="J33" s="35" t="str">
        <f>IF(OR(TRIM(E33)="", TRIM(H33)=""), "", IFERROR(IF(OR(VLOOKUP(E33&amp;"|"&amp;H33&amp;"", DB!$A:$N, 6, FALSE)="", VLOOKUP(E33&amp;"|"&amp;H33&amp;"", DB!$A:$N, 6, FALSE)="-"), "", VLOOKUP(E33&amp;"|"&amp;H33&amp;"", DB!$A:$N, 6, FALSE)), ""))</f>
        <v/>
      </c>
      <c r="K33" s="35"/>
      <c r="L33" s="35"/>
      <c r="M33" s="35"/>
      <c r="N33" s="35" t="str">
        <f t="shared" si="0"/>
        <v>X</v>
      </c>
      <c r="O33" s="34"/>
      <c r="P33" s="34"/>
      <c r="Q33" s="34"/>
      <c r="R33" s="34"/>
      <c r="S33" s="34"/>
      <c r="T33" s="34"/>
      <c r="U33" s="34"/>
      <c r="V33" s="34" t="s">
        <v>98</v>
      </c>
    </row>
    <row r="34" spans="1:22">
      <c r="A34" s="35"/>
      <c r="B34" s="3"/>
      <c r="C34" s="35" t="s">
        <v>100</v>
      </c>
      <c r="D34" s="34" t="str">
        <f>IF(OR(E34="", H34=""), V34, IFERROR(IF(VLOOKUP(E34&amp;"|"&amp;H34&amp;"", DB!$A:$N, 4, FALSE)="", V34, VLOOKUP(E34&amp;"|"&amp;H34&amp;"", DB!$A:$N, 4, FALSE)), V34))</f>
        <v>ICG NHS Ester, 5 mg *1ea</v>
      </c>
      <c r="E34" s="34"/>
      <c r="F34" s="35" t="s">
        <v>101</v>
      </c>
      <c r="G34" s="35" t="str">
        <f>IF(OR(E34="", H34=""), "", IFERROR(VLOOKUP(E34&amp;"|"&amp;H34&amp;"", DB!$A:$N, 5, FALSE), ""))</f>
        <v/>
      </c>
      <c r="H34" s="3"/>
      <c r="I34" s="35">
        <v>1001</v>
      </c>
      <c r="J34" s="35" t="str">
        <f>IF(OR(TRIM(E34)="", TRIM(H34)=""), "", IFERROR(IF(OR(VLOOKUP(E34&amp;"|"&amp;H34&amp;"", DB!$A:$N, 6, FALSE)="", VLOOKUP(E34&amp;"|"&amp;H34&amp;"", DB!$A:$N, 6, FALSE)="-"), "", VLOOKUP(E34&amp;"|"&amp;H34&amp;"", DB!$A:$N, 6, FALSE)), ""))</f>
        <v/>
      </c>
      <c r="K34" s="35" t="s">
        <v>28</v>
      </c>
      <c r="L34" s="35">
        <v>1</v>
      </c>
      <c r="M34" s="35"/>
      <c r="N34" s="35">
        <f t="shared" si="0"/>
        <v>1</v>
      </c>
      <c r="O34" s="34"/>
      <c r="P34" s="34"/>
      <c r="Q34" s="34"/>
      <c r="R34" s="34"/>
      <c r="S34" s="34"/>
      <c r="T34" s="34"/>
      <c r="U34" s="34"/>
      <c r="V34" s="34" t="s">
        <v>102</v>
      </c>
    </row>
    <row r="35" spans="1:22">
      <c r="A35" s="35" t="s">
        <v>103</v>
      </c>
      <c r="B35" s="3" t="s">
        <v>104</v>
      </c>
      <c r="C35" s="35" t="s">
        <v>100</v>
      </c>
      <c r="D35" s="34" t="str">
        <f>IF(OR(E35="", H35=""), V35, IFERROR(IF(VLOOKUP(E35&amp;"|"&amp;H35&amp;"", DB!$A:$N, 4, FALSE)="", V35, VLOOKUP(E35&amp;"|"&amp;H35&amp;"", DB!$A:$N, 4, FALSE)), V35))</f>
        <v>ICG NHS Ester, 5 mg *1ea</v>
      </c>
      <c r="E35" s="34"/>
      <c r="F35" s="35" t="s">
        <v>101</v>
      </c>
      <c r="G35" s="35" t="str">
        <f>IF(OR(E35="", H35=""), "", IFERROR(VLOOKUP(E35&amp;"|"&amp;H35&amp;"", DB!$A:$N, 5, FALSE), ""))</f>
        <v/>
      </c>
      <c r="H35" s="3"/>
      <c r="I35" s="35"/>
      <c r="J35" s="35" t="str">
        <f>IF(OR(TRIM(E35)="", TRIM(H35)=""), "", IFERROR(IF(OR(VLOOKUP(E35&amp;"|"&amp;H35&amp;"", DB!$A:$N, 6, FALSE)="", VLOOKUP(E35&amp;"|"&amp;H35&amp;"", DB!$A:$N, 6, FALSE)="-"), "", VLOOKUP(E35&amp;"|"&amp;H35&amp;"", DB!$A:$N, 6, FALSE)), ""))</f>
        <v/>
      </c>
      <c r="K35" s="35"/>
      <c r="L35" s="35">
        <v>1</v>
      </c>
      <c r="M35" s="35"/>
      <c r="N35" s="35">
        <f t="shared" si="0"/>
        <v>1</v>
      </c>
      <c r="O35" s="34"/>
      <c r="P35" s="34"/>
      <c r="Q35" s="34"/>
      <c r="R35" s="34"/>
      <c r="S35" s="34"/>
      <c r="T35" s="34"/>
      <c r="U35" s="34"/>
      <c r="V35" s="34" t="s">
        <v>102</v>
      </c>
    </row>
    <row r="36" spans="1:22">
      <c r="A36" s="35" t="s">
        <v>105</v>
      </c>
      <c r="B36" s="3" t="s">
        <v>106</v>
      </c>
      <c r="C36" s="35" t="s">
        <v>84</v>
      </c>
      <c r="D36" s="34" t="str">
        <f>IF(OR(E36="", H36=""), V36, IFERROR(IF(VLOOKUP(E36&amp;"|"&amp;H36&amp;"", DB!$A:$N, 4, FALSE)="", V36, VLOOKUP(E36&amp;"|"&amp;H36&amp;"", DB!$A:$N, 4, FALSE)), V36))</f>
        <v>Isopropyl alcohol 1L *10ea</v>
      </c>
      <c r="E36" s="34"/>
      <c r="F36" s="35"/>
      <c r="G36" s="35" t="str">
        <f>IF(OR(E36="", H36=""), "", IFERROR(VLOOKUP(E36&amp;"|"&amp;H36&amp;"", DB!$A:$N, 5, FALSE), ""))</f>
        <v/>
      </c>
      <c r="H36" s="3"/>
      <c r="I36" s="35"/>
      <c r="J36" s="35" t="str">
        <f>IF(OR(TRIM(E36)="", TRIM(H36)=""), "", IFERROR(IF(OR(VLOOKUP(E36&amp;"|"&amp;H36&amp;"", DB!$A:$N, 6, FALSE)="", VLOOKUP(E36&amp;"|"&amp;H36&amp;"", DB!$A:$N, 6, FALSE)="-"), "", VLOOKUP(E36&amp;"|"&amp;H36&amp;"", DB!$A:$N, 6, FALSE)), ""))</f>
        <v/>
      </c>
      <c r="K36" s="35"/>
      <c r="L36" s="35"/>
      <c r="M36" s="35"/>
      <c r="N36" s="35" t="str">
        <f t="shared" si="0"/>
        <v>X</v>
      </c>
      <c r="O36" s="34"/>
      <c r="P36" s="34"/>
      <c r="Q36" s="34"/>
      <c r="R36" s="34"/>
      <c r="S36" s="34"/>
      <c r="T36" s="34"/>
      <c r="U36" s="34"/>
      <c r="V36" s="34" t="s">
        <v>107</v>
      </c>
    </row>
    <row r="37" spans="1:22">
      <c r="A37" s="35" t="s">
        <v>108</v>
      </c>
      <c r="B37" s="3" t="s">
        <v>109</v>
      </c>
      <c r="C37" s="35" t="s">
        <v>32</v>
      </c>
      <c r="D37" s="34" t="str">
        <f>IF(OR(E37="", H37=""), V37, IFERROR(IF(VLOOKUP(E37&amp;"|"&amp;H37&amp;"", DB!$A:$N, 4, FALSE)="", V37, VLOOKUP(E37&amp;"|"&amp;H37&amp;"", DB!$A:$N, 4, FALSE)), V37))</f>
        <v>bb</v>
      </c>
      <c r="E37" s="34" t="s">
        <v>202</v>
      </c>
      <c r="F37" s="35" t="s">
        <v>110</v>
      </c>
      <c r="G37" s="35" t="str">
        <f>IF(OR(E37="", H37=""), "", IFERROR(VLOOKUP(E37&amp;"|"&amp;H37&amp;"", DB!$A:$N, 5, FALSE), ""))</f>
        <v>Search Failed</v>
      </c>
      <c r="H37" s="3" t="s">
        <v>211</v>
      </c>
      <c r="I37" s="35">
        <v>1018</v>
      </c>
      <c r="J37" s="35" t="str">
        <f>IFERROR(IF(OR(VLOOKUP(E37&amp;"|"&amp;H37&amp;"", DB!$A:$N, 6, FALSE)="", VLOOKUP(E37&amp;"|"&amp;H37&amp;"", DB!$A:$N, 6, FALSE)="-"), "", VLOOKUP(E37&amp;"|"&amp;H37&amp;"", DB!$A:$N, 6, FALSE)), "")</f>
        <v/>
      </c>
      <c r="K37" s="35" t="s">
        <v>33</v>
      </c>
      <c r="L37" s="35">
        <v>3</v>
      </c>
      <c r="M37" s="35"/>
      <c r="N37" s="35">
        <f t="shared" si="0"/>
        <v>3</v>
      </c>
      <c r="O37" s="34"/>
      <c r="P37" s="34" t="str">
        <f>IF(OR(E37="", H37=""), "", IFERROR(IF(VLOOKUP(E37&amp;"|"&amp;H37&amp;"", DB!$A:$N, 7, FALSE)="","-",VLOOKUP(E37&amp;"|"&amp;H37&amp;"", DB!$A:$N, 7, FALSE)), "-"))</f>
        <v>-</v>
      </c>
      <c r="Q37" s="34" t="str">
        <f>IF(OR(E37="", H37=""), "", IFERROR(IF(VLOOKUP(E37&amp;"|"&amp;H37&amp;"", DB!$A:$N, 8, FALSE)="","-",VLOOKUP(E37&amp;"|"&amp;H37&amp;"", DB!$A:$N, 8, FALSE)), "-"))</f>
        <v>-</v>
      </c>
      <c r="R37" s="34" t="str">
        <f>IF(OR(E37="", H37=""), "", IFERROR(IF(VLOOKUP(E37&amp;"|"&amp;H37&amp;"", DB!$A:$N, 9, FALSE)="","-",VLOOKUP(E37&amp;"|"&amp;H37&amp;"", DB!$A:$N, 9, FALSE)), "-"))</f>
        <v>-</v>
      </c>
      <c r="S37" s="34" t="str">
        <f>IF(OR(E37="", H37=""), "", IFERROR(IF(VLOOKUP(E37&amp;"|"&amp;H37&amp;"", DB!$A:$N, 10, FALSE)="","-",VLOOKUP(E37&amp;"|"&amp;H37&amp;"", DB!$A:$N, 10, FALSE)), "-"))</f>
        <v>-</v>
      </c>
      <c r="T37" s="34" t="str">
        <f>IF(OR(E37="", H37=""), "", IFERROR(IF(VLOOKUP(E37&amp;"|"&amp;H37&amp;"", DB!$A:$N, 11, FALSE)="","-",VLOOKUP(E37&amp;"|"&amp;H37&amp;"", DB!$A:$N, 11, FALSE)), "-"))</f>
        <v>Product Not Found</v>
      </c>
      <c r="U37" s="34" t="str">
        <f>IF(OR(E37="", H37=""), "", IFERROR(IF(VLOOKUP(E37&amp;"|"&amp;H37&amp;"", DB!$A:$N, 12, FALSE)="","-",VLOOKUP(E37&amp;"|"&amp;H37&amp;"", DB!$A:$N, 12, FALSE)), "-"))</f>
        <v>-</v>
      </c>
      <c r="V37" s="34" t="s">
        <v>111</v>
      </c>
    </row>
    <row r="38" spans="1:22">
      <c r="A38" s="35" t="s">
        <v>112</v>
      </c>
      <c r="B38" s="3" t="s">
        <v>75</v>
      </c>
      <c r="C38" s="35" t="s">
        <v>35</v>
      </c>
      <c r="D38" s="34" t="str">
        <f>IF(OR(E38="", H38=""), V38, IFERROR(IF(VLOOKUP(E38&amp;"|"&amp;H38&amp;"", DB!$A:$N, 4, FALSE)="", V38, VLOOKUP(E38&amp;"|"&amp;H38&amp;"", DB!$A:$N, 4, FALSE)), V38))</f>
        <v>Premixed TBS., 10X *2</v>
      </c>
      <c r="E38" s="34"/>
      <c r="F38" s="35"/>
      <c r="G38" s="35" t="str">
        <f>IF(OR(E38="", H38=""), "", IFERROR(VLOOKUP(E38&amp;"|"&amp;H38&amp;"", DB!$A:$N, 5, FALSE), ""))</f>
        <v/>
      </c>
      <c r="H38" s="3"/>
      <c r="I38" s="35"/>
      <c r="J38" s="35" t="str">
        <f>IF(OR(TRIM(E38)="", TRIM(H38)=""), "", IFERROR(IF(OR(VLOOKUP(E38&amp;"|"&amp;H38&amp;"", DB!$A:$N, 6, FALSE)="", VLOOKUP(E38&amp;"|"&amp;H38&amp;"", DB!$A:$N, 6, FALSE)="-"), "", VLOOKUP(E38&amp;"|"&amp;H38&amp;"", DB!$A:$N, 6, FALSE)), ""))</f>
        <v/>
      </c>
      <c r="K38" s="35"/>
      <c r="L38" s="35"/>
      <c r="M38" s="35"/>
      <c r="N38" s="35" t="str">
        <f t="shared" si="0"/>
        <v>X</v>
      </c>
      <c r="O38" s="34"/>
      <c r="P38" s="34"/>
      <c r="Q38" s="34"/>
      <c r="R38" s="34"/>
      <c r="S38" s="34"/>
      <c r="T38" s="34"/>
      <c r="U38" s="34"/>
      <c r="V38" s="34" t="s">
        <v>113</v>
      </c>
    </row>
    <row r="39" spans="1:22">
      <c r="A39" s="35"/>
      <c r="B39" s="3"/>
      <c r="C39" s="35" t="s">
        <v>78</v>
      </c>
      <c r="D39" s="34" t="str">
        <f>IF(OR(E39="", H39=""), V39, IFERROR(IF(VLOOKUP(E39&amp;"|"&amp;H39&amp;"", DB!$A:$N, 4, FALSE)="", V39, VLOOKUP(E39&amp;"|"&amp;H39&amp;"", DB!$A:$N, 4, FALSE)), V39))</f>
        <v>Serotonin hydrochloride 100mg</v>
      </c>
      <c r="E39" s="34"/>
      <c r="F39" s="35"/>
      <c r="G39" s="35" t="str">
        <f>IF(OR(E39="", H39=""), "", IFERROR(VLOOKUP(E39&amp;"|"&amp;H39&amp;"", DB!$A:$N, 5, FALSE), ""))</f>
        <v/>
      </c>
      <c r="H39" s="3"/>
      <c r="I39" s="35">
        <v>1001</v>
      </c>
      <c r="J39" s="35" t="str">
        <f>IF(OR(TRIM(E39)="", TRIM(H39)=""), "", IFERROR(IF(OR(VLOOKUP(E39&amp;"|"&amp;H39&amp;"", DB!$A:$N, 6, FALSE)="", VLOOKUP(E39&amp;"|"&amp;H39&amp;"", DB!$A:$N, 6, FALSE)="-"), "", VLOOKUP(E39&amp;"|"&amp;H39&amp;"", DB!$A:$N, 6, FALSE)), ""))</f>
        <v/>
      </c>
      <c r="K39" s="35" t="s">
        <v>51</v>
      </c>
      <c r="L39" s="35"/>
      <c r="M39" s="35"/>
      <c r="N39" s="35" t="str">
        <f t="shared" si="0"/>
        <v>X</v>
      </c>
      <c r="O39" s="34"/>
      <c r="P39" s="34"/>
      <c r="Q39" s="34"/>
      <c r="R39" s="34"/>
      <c r="S39" s="34"/>
      <c r="T39" s="34"/>
      <c r="U39" s="34"/>
      <c r="V39" s="34" t="s">
        <v>114</v>
      </c>
    </row>
    <row r="40" spans="1:22">
      <c r="A40" s="35" t="s">
        <v>115</v>
      </c>
      <c r="B40" s="3" t="s">
        <v>116</v>
      </c>
      <c r="C40" s="35" t="s">
        <v>78</v>
      </c>
      <c r="D40" s="34" t="str">
        <f>IF(OR(E40="", H40=""), V40, IFERROR(IF(VLOOKUP(E40&amp;"|"&amp;H40&amp;"", DB!$A:$N, 4, FALSE)="", V40, VLOOKUP(E40&amp;"|"&amp;H40&amp;"", DB!$A:$N, 4, FALSE)), V40))</f>
        <v>Serotonin hydrochloride 100mg</v>
      </c>
      <c r="E40" s="34"/>
      <c r="F40" s="35"/>
      <c r="G40" s="35" t="str">
        <f>IF(OR(E40="", H40=""), "", IFERROR(VLOOKUP(E40&amp;"|"&amp;H40&amp;"", DB!$A:$N, 5, FALSE), ""))</f>
        <v/>
      </c>
      <c r="H40" s="3"/>
      <c r="I40" s="35"/>
      <c r="J40" s="35" t="str">
        <f>IF(OR(TRIM(E40)="", TRIM(H40)=""), "", IFERROR(IF(OR(VLOOKUP(E40&amp;"|"&amp;H40&amp;"", DB!$A:$N, 6, FALSE)="", VLOOKUP(E40&amp;"|"&amp;H40&amp;"", DB!$A:$N, 6, FALSE)="-"), "", VLOOKUP(E40&amp;"|"&amp;H40&amp;"", DB!$A:$N, 6, FALSE)), ""))</f>
        <v/>
      </c>
      <c r="K40" s="35"/>
      <c r="L40" s="35"/>
      <c r="M40" s="35"/>
      <c r="N40" s="35" t="str">
        <f t="shared" si="0"/>
        <v>X</v>
      </c>
      <c r="O40" s="34"/>
      <c r="P40" s="34"/>
      <c r="Q40" s="34"/>
      <c r="R40" s="34"/>
      <c r="S40" s="34"/>
      <c r="T40" s="34"/>
      <c r="U40" s="34"/>
      <c r="V40" s="34" t="s">
        <v>114</v>
      </c>
    </row>
    <row r="41" spans="1:22">
      <c r="A41" s="35" t="s">
        <v>117</v>
      </c>
      <c r="B41" s="3" t="s">
        <v>118</v>
      </c>
      <c r="C41" s="35" t="s">
        <v>119</v>
      </c>
      <c r="D41" s="34" t="str">
        <f>IF(OR(E41="", H41=""), V41, IFERROR(IF(VLOOKUP(E41&amp;"|"&amp;H41&amp;"", DB!$A:$N, 4, FALSE)="", V41, VLOOKUP(E41&amp;"|"&amp;H41&amp;"", DB!$A:$N, 4, FALSE)), V41))</f>
        <v>Sodium citrate dihydrate</v>
      </c>
      <c r="E41" s="34"/>
      <c r="F41" s="35"/>
      <c r="G41" s="35" t="str">
        <f>IF(OR(E41="", H41=""), "", IFERROR(VLOOKUP(E41&amp;"|"&amp;H41&amp;"", DB!$A:$N, 5, FALSE), ""))</f>
        <v/>
      </c>
      <c r="H41" s="3"/>
      <c r="I41" s="35"/>
      <c r="J41" s="35" t="str">
        <f>IF(OR(TRIM(E41)="", TRIM(H41)=""), "", IFERROR(IF(OR(VLOOKUP(E41&amp;"|"&amp;H41&amp;"", DB!$A:$N, 6, FALSE)="", VLOOKUP(E41&amp;"|"&amp;H41&amp;"", DB!$A:$N, 6, FALSE)="-"), "", VLOOKUP(E41&amp;"|"&amp;H41&amp;"", DB!$A:$N, 6, FALSE)), ""))</f>
        <v/>
      </c>
      <c r="K41" s="35"/>
      <c r="L41" s="35"/>
      <c r="M41" s="35"/>
      <c r="N41" s="35" t="str">
        <f t="shared" si="0"/>
        <v>X</v>
      </c>
      <c r="O41" s="34"/>
      <c r="P41" s="34"/>
      <c r="Q41" s="34"/>
      <c r="R41" s="34"/>
      <c r="S41" s="34"/>
      <c r="T41" s="34"/>
      <c r="U41" s="34"/>
      <c r="V41" s="34" t="s">
        <v>120</v>
      </c>
    </row>
    <row r="42" spans="1:22">
      <c r="A42" s="35"/>
      <c r="B42" s="3"/>
      <c r="C42" s="35" t="s">
        <v>84</v>
      </c>
      <c r="D42" s="34" t="str">
        <f>IF(OR(E42="", H42=""), V42, IFERROR(IF(VLOOKUP(E42&amp;"|"&amp;H42&amp;"", DB!$A:$N, 4, FALSE)="", V42, VLOOKUP(E42&amp;"|"&amp;H42&amp;"", DB!$A:$N, 4, FALSE)), V42))</f>
        <v>bb</v>
      </c>
      <c r="E42" s="34" t="s">
        <v>202</v>
      </c>
      <c r="F42" s="35" t="s">
        <v>70</v>
      </c>
      <c r="G42" s="35" t="str">
        <f>IF(OR(E42="", H42=""), "", IFERROR(VLOOKUP(E42&amp;"|"&amp;H42&amp;"", DB!$A:$N, 5, FALSE), ""))</f>
        <v/>
      </c>
      <c r="H42" s="3"/>
      <c r="I42" s="35">
        <v>309</v>
      </c>
      <c r="J42" s="35" t="str">
        <f>IF(OR(TRIM(E42)="", TRIM(H42)=""), "", IFERROR(IF(OR(VLOOKUP(E42&amp;"|"&amp;H42&amp;"", DB!$A:$N, 6, FALSE)="", VLOOKUP(E42&amp;"|"&amp;H42&amp;"", DB!$A:$N, 6, FALSE)="-"), "", VLOOKUP(E42&amp;"|"&amp;H42&amp;"", DB!$A:$N, 6, FALSE)), ""))</f>
        <v/>
      </c>
      <c r="K42" s="35" t="s">
        <v>121</v>
      </c>
      <c r="L42" s="35">
        <v>1</v>
      </c>
      <c r="M42" s="35"/>
      <c r="N42" s="35">
        <f t="shared" si="0"/>
        <v>1</v>
      </c>
      <c r="O42" s="34"/>
      <c r="P42" s="34" t="str">
        <f>IF(OR(E42="", H42=""), "", IFERROR(IF(VLOOKUP(E42&amp;"|"&amp;H42&amp;"", DB!$A:$N, 7, FALSE)="","-",VLOOKUP(E42&amp;"|"&amp;H42&amp;"", DB!$A:$N, 7, FALSE)), "-"))</f>
        <v/>
      </c>
      <c r="Q42" s="34" t="str">
        <f>IF(OR(E42="", H42=""), "", IFERROR(IF(VLOOKUP(E42&amp;"|"&amp;H42&amp;"", DB!$A:$N, 8, FALSE)="","-",VLOOKUP(E42&amp;"|"&amp;H42&amp;"", DB!$A:$N, 8, FALSE)), "-"))</f>
        <v/>
      </c>
      <c r="R42" s="34" t="str">
        <f>IF(OR(E42="", H42=""), "", IFERROR(IF(VLOOKUP(E42&amp;"|"&amp;H42&amp;"", DB!$A:$N, 9, FALSE)="","-",VLOOKUP(E42&amp;"|"&amp;H42&amp;"", DB!$A:$N, 9, FALSE)), "-"))</f>
        <v/>
      </c>
      <c r="S42" s="34" t="str">
        <f>IF(OR(E42="", H42=""), "", IFERROR(IF(VLOOKUP(E42&amp;"|"&amp;H42&amp;"", DB!$A:$N, 10, FALSE)="","-",VLOOKUP(E42&amp;"|"&amp;H42&amp;"", DB!$A:$N, 10, FALSE)), "-"))</f>
        <v/>
      </c>
      <c r="T42" s="34" t="str">
        <f>IF(OR(E42="", H42=""), "", IFERROR(IF(VLOOKUP(E42&amp;"|"&amp;H42&amp;"", DB!$A:$N, 11, FALSE)="","-",VLOOKUP(E42&amp;"|"&amp;H42&amp;"", DB!$A:$N, 11, FALSE)), "-"))</f>
        <v/>
      </c>
      <c r="U42" s="34" t="str">
        <f>IF(OR(E42="", H42=""), "", IFERROR(IF(VLOOKUP(E42&amp;"|"&amp;H42&amp;"", DB!$A:$N, 12, FALSE)="","-",VLOOKUP(E42&amp;"|"&amp;H42&amp;"", DB!$A:$N, 12, FALSE)), "-"))</f>
        <v/>
      </c>
      <c r="V42" s="34" t="s">
        <v>71</v>
      </c>
    </row>
    <row r="43" spans="1:22">
      <c r="A43" s="35" t="s">
        <v>122</v>
      </c>
      <c r="B43" s="3" t="s">
        <v>123</v>
      </c>
      <c r="C43" s="35" t="s">
        <v>84</v>
      </c>
      <c r="D43" s="34" t="str">
        <f>IF(OR(E43="", H43=""), V43, IFERROR(IF(VLOOKUP(E43&amp;"|"&amp;H43&amp;"", DB!$A:$N, 4, FALSE)="", V43, VLOOKUP(E43&amp;"|"&amp;H43&amp;"", DB!$A:$N, 4, FALSE)), V43))</f>
        <v>bb</v>
      </c>
      <c r="E43" s="34" t="s">
        <v>202</v>
      </c>
      <c r="F43" s="35" t="s">
        <v>70</v>
      </c>
      <c r="G43" s="35" t="str">
        <f>IF(OR(E43="", H43=""), "", IFERROR(VLOOKUP(E43&amp;"|"&amp;H43&amp;"", DB!$A:$N, 5, FALSE), ""))</f>
        <v>Search Failed</v>
      </c>
      <c r="H43" s="3" t="s">
        <v>211</v>
      </c>
      <c r="I43" s="35"/>
      <c r="J43" s="35" t="str">
        <f>IFERROR(IF(OR(VLOOKUP(E43&amp;"|"&amp;H43&amp;"", DB!$A:$N, 6, FALSE)="", VLOOKUP(E43&amp;"|"&amp;H43&amp;"", DB!$A:$N, 6, FALSE)="-"), "", VLOOKUP(E43&amp;"|"&amp;H43&amp;"", DB!$A:$N, 6, FALSE)), "")</f>
        <v/>
      </c>
      <c r="K43" s="35"/>
      <c r="L43" s="35">
        <v>1</v>
      </c>
      <c r="M43" s="35"/>
      <c r="N43" s="35">
        <f t="shared" si="0"/>
        <v>1</v>
      </c>
      <c r="O43" s="34"/>
      <c r="P43" s="34" t="str">
        <f>IF(OR(E43="", H43=""), "", IFERROR(IF(VLOOKUP(E43&amp;"|"&amp;H43&amp;"", DB!$A:$N, 7, FALSE)="","-",VLOOKUP(E43&amp;"|"&amp;H43&amp;"", DB!$A:$N, 7, FALSE)), "-"))</f>
        <v>-</v>
      </c>
      <c r="Q43" s="34" t="str">
        <f>IF(OR(E43="", H43=""), "", IFERROR(IF(VLOOKUP(E43&amp;"|"&amp;H43&amp;"", DB!$A:$N, 8, FALSE)="","-",VLOOKUP(E43&amp;"|"&amp;H43&amp;"", DB!$A:$N, 8, FALSE)), "-"))</f>
        <v>-</v>
      </c>
      <c r="R43" s="34" t="str">
        <f>IF(OR(E43="", H43=""), "", IFERROR(IF(VLOOKUP(E43&amp;"|"&amp;H43&amp;"", DB!$A:$N, 9, FALSE)="","-",VLOOKUP(E43&amp;"|"&amp;H43&amp;"", DB!$A:$N, 9, FALSE)), "-"))</f>
        <v>-</v>
      </c>
      <c r="S43" s="34" t="str">
        <f>IF(OR(E43="", H43=""), "", IFERROR(IF(VLOOKUP(E43&amp;"|"&amp;H43&amp;"", DB!$A:$N, 10, FALSE)="","-",VLOOKUP(E43&amp;"|"&amp;H43&amp;"", DB!$A:$N, 10, FALSE)), "-"))</f>
        <v>-</v>
      </c>
      <c r="T43" s="34" t="str">
        <f>IF(OR(E43="", H43=""), "", IFERROR(IF(VLOOKUP(E43&amp;"|"&amp;H43&amp;"", DB!$A:$N, 11, FALSE)="","-",VLOOKUP(E43&amp;"|"&amp;H43&amp;"", DB!$A:$N, 11, FALSE)), "-"))</f>
        <v>Product Not Found</v>
      </c>
      <c r="U43" s="34" t="str">
        <f>IF(OR(E43="", H43=""), "", IFERROR(IF(VLOOKUP(E43&amp;"|"&amp;H43&amp;"", DB!$A:$N, 12, FALSE)="","-",VLOOKUP(E43&amp;"|"&amp;H43&amp;"", DB!$A:$N, 12, FALSE)), "-"))</f>
        <v>-</v>
      </c>
      <c r="V43" s="34" t="s">
        <v>71</v>
      </c>
    </row>
    <row r="44" spans="1:22">
      <c r="A44" s="35" t="s">
        <v>124</v>
      </c>
      <c r="B44" s="3" t="s">
        <v>125</v>
      </c>
      <c r="C44" s="35" t="s">
        <v>126</v>
      </c>
      <c r="D44" s="34" t="str">
        <f>IF(OR(E44="", H44=""), V44, IFERROR(IF(VLOOKUP(E44&amp;"|"&amp;H44&amp;"", DB!$A:$N, 4, FALSE)="", V44, VLOOKUP(E44&amp;"|"&amp;H44&amp;"", DB!$A:$N, 4, FALSE)), V44))</f>
        <v>1-Adamantanethiol</v>
      </c>
      <c r="E44" s="14" t="s">
        <v>202</v>
      </c>
      <c r="F44" s="35" t="s">
        <v>127</v>
      </c>
      <c r="G44" s="35" t="str">
        <f>IF(OR(E44="", H44=""), "", IFERROR(VLOOKUP(E44&amp;"|"&amp;H44&amp;"", DB!$A:$N, 5, FALSE), ""))</f>
        <v>34301-54-7</v>
      </c>
      <c r="H44" s="10" t="s">
        <v>212</v>
      </c>
      <c r="I44" s="35"/>
      <c r="J44" s="35" t="str">
        <f>IFERROR(IF(OR(VLOOKUP(E44&amp;"|"&amp;H44&amp;"", DB!$A:$N, 6, FALSE)="", VLOOKUP(E44&amp;"|"&amp;H44&amp;"", DB!$A:$N, 6, FALSE)="-"), "", VLOOKUP(E44&amp;"|"&amp;H44&amp;"", DB!$A:$N, 6, FALSE)), "")</f>
        <v>RT</v>
      </c>
      <c r="K44" s="35"/>
      <c r="L44" s="35">
        <v>1</v>
      </c>
      <c r="M44" s="35"/>
      <c r="N44" s="35">
        <f t="shared" si="0"/>
        <v>1</v>
      </c>
      <c r="O44" s="34"/>
      <c r="P44" s="34" t="str">
        <f>IF(OR(E44="", H44=""), "", IFERROR(IF(VLOOKUP(E44&amp;"|"&amp;H44&amp;"", DB!$A:$N, 7, FALSE)="","-",VLOOKUP(E44&amp;"|"&amp;H44&amp;"", DB!$A:$N, 7, FALSE)), "-"))</f>
        <v>-</v>
      </c>
      <c r="Q44" s="16" t="str">
        <f>IF(OR(E44="", H44=""), "", IFERROR(IF(VLOOKUP(E44&amp;"|"&amp;H44&amp;"", DB!$A:$N, 8, FALSE)="","-",VLOOKUP(E44&amp;"|"&amp;H44&amp;"", DB!$A:$N, 8, FALSE)), "-"))</f>
        <v>▲ Warning</v>
      </c>
      <c r="R44" s="15" t="str">
        <f>IF(OR(E44="", H44=""), "", IFERROR(IF(VLOOKUP(E44&amp;"|"&amp;H44&amp;"", DB!$A:$N, 9, FALSE)="","-",VLOOKUP(E44&amp;"|"&amp;H44&amp;"", DB!$A:$N, 9, FALSE)), "-"))</f>
        <v>● Toxic, ◆ Irritant / Sensitizer</v>
      </c>
      <c r="S44" s="34" t="str">
        <f>IF(OR(E44="", H44=""), "", IFERROR(IF(VLOOKUP(E44&amp;"|"&amp;H44&amp;"", DB!$A:$N, 10, FALSE)="","-",VLOOKUP(E44&amp;"|"&amp;H44&amp;"", DB!$A:$N, 10, FALSE)), "-"))</f>
        <v>H319: Causes serious eye irritation / H301: Toxic if swallowed</v>
      </c>
      <c r="T44" s="34" t="str">
        <f>IF(OR(E44="", H44=""), "", IFERROR(IF(VLOOKUP(E44&amp;"|"&amp;H44&amp;"", DB!$A:$N, 11, FALSE)="","-",VLOOKUP(E44&amp;"|"&amp;H44&amp;"", DB!$A:$N, 11, FALSE)), "-"))</f>
        <v>https://www.sigmaaldrich.com/KR/en/product/aldrich/659452</v>
      </c>
      <c r="U44" s="34" t="str">
        <f>IF(OR(E44="", H44=""), "", IFERROR(IF(VLOOKUP(E44&amp;"|"&amp;H44&amp;"", DB!$A:$N, 12, FALSE)="","-",VLOOKUP(E44&amp;"|"&amp;H44&amp;"", DB!$A:$N, 12, FALSE)), "-"))</f>
        <v>https://www.sigmaaldrich.com/KR/ko/sds/aldrich/659452</v>
      </c>
      <c r="V44" s="34" t="s">
        <v>128</v>
      </c>
    </row>
    <row r="45" spans="1:22">
      <c r="A45" s="35" t="s">
        <v>129</v>
      </c>
      <c r="B45" s="3" t="s">
        <v>130</v>
      </c>
      <c r="C45" s="35" t="s">
        <v>126</v>
      </c>
      <c r="D45" s="34" t="str">
        <f>IF(OR(E45="", H45=""), V45, IFERROR(IF(VLOOKUP(E45&amp;"|"&amp;H45&amp;"", DB!$A:$N, 4, FALSE)="", V45, VLOOKUP(E45&amp;"|"&amp;H45&amp;"", DB!$A:$N, 4, FALSE)), V45))</f>
        <v>Acetaldehyde</v>
      </c>
      <c r="E45" s="14" t="s">
        <v>202</v>
      </c>
      <c r="F45" s="35" t="s">
        <v>27</v>
      </c>
      <c r="G45" s="35" t="str">
        <f>IF(OR(E45="", H45=""), "", IFERROR(VLOOKUP(E45&amp;"|"&amp;H45&amp;"", DB!$A:$N, 5, FALSE), ""))</f>
        <v>75-07-0</v>
      </c>
      <c r="H45" s="10" t="s">
        <v>213</v>
      </c>
      <c r="I45" s="35"/>
      <c r="J45" s="35" t="str">
        <f>IFERROR(IF(OR(VLOOKUP(E45&amp;"|"&amp;H45&amp;"", DB!$A:$N, 6, FALSE)="", VLOOKUP(E45&amp;"|"&amp;H45&amp;"", DB!$A:$N, 6, FALSE)="-"), "", VLOOKUP(E45&amp;"|"&amp;H45&amp;"", DB!$A:$N, 6, FALSE)), "")</f>
        <v>R</v>
      </c>
      <c r="K45" s="35"/>
      <c r="L45" s="35">
        <v>1</v>
      </c>
      <c r="M45" s="35"/>
      <c r="N45" s="35">
        <f t="shared" si="0"/>
        <v>1</v>
      </c>
      <c r="O45" s="34"/>
      <c r="P45" s="34" t="str">
        <f>IF(OR(E45="", H45=""), "", IFERROR(IF(VLOOKUP(E45&amp;"|"&amp;H45&amp;"", DB!$A:$N, 7, FALSE)="","-",VLOOKUP(E45&amp;"|"&amp;H45&amp;"", DB!$A:$N, 7, FALSE)), "-"))</f>
        <v>-</v>
      </c>
      <c r="Q45" s="16" t="str">
        <f>IF(OR(E45="", H45=""), "", IFERROR(IF(VLOOKUP(E45&amp;"|"&amp;H45&amp;"", DB!$A:$N, 8, FALSE)="","-",VLOOKUP(E45&amp;"|"&amp;H45&amp;"", DB!$A:$N, 8, FALSE)), "-"))</f>
        <v>▲ Warning</v>
      </c>
      <c r="R45" s="15" t="str">
        <f>IF(OR(E45="", H45=""), "", IFERROR(IF(VLOOKUP(E45&amp;"|"&amp;H45&amp;"", DB!$A:$N, 9, FALSE)="","-",VLOOKUP(E45&amp;"|"&amp;H45&amp;"", DB!$A:$N, 9, FALSE)), "-"))</f>
        <v>★ Flammable, ◆ Irritant / Sensitizer, ▼ Health Hazard</v>
      </c>
      <c r="S45" s="34" t="str">
        <f>IF(OR(E45="", H45=""), "", IFERROR(IF(VLOOKUP(E45&amp;"|"&amp;H45&amp;"", DB!$A:$N, 10, FALSE)="","-",VLOOKUP(E45&amp;"|"&amp;H45&amp;"", DB!$A:$N, 10, FALSE)), "-"))</f>
        <v>H319: Causes serious eye irritation / H335: May cause respiratory irritation / H341: Suspected of causing genetic defects / H350: May cause cancer / H224: Extremely flammable liquid and vapor</v>
      </c>
      <c r="T45" s="34" t="str">
        <f>IF(OR(E45="", H45=""), "", IFERROR(IF(VLOOKUP(E45&amp;"|"&amp;H45&amp;"", DB!$A:$N, 11, FALSE)="","-",VLOOKUP(E45&amp;"|"&amp;H45&amp;"", DB!$A:$N, 11, FALSE)), "-"))</f>
        <v>https://www.sigmaaldrich.com/KR/en/product/sial/402788</v>
      </c>
      <c r="U45" s="34" t="str">
        <f>IF(OR(E45="", H45=""), "", IFERROR(IF(VLOOKUP(E45&amp;"|"&amp;H45&amp;"", DB!$A:$N, 12, FALSE)="","-",VLOOKUP(E45&amp;"|"&amp;H45&amp;"", DB!$A:$N, 12, FALSE)), "-"))</f>
        <v>https://www.sigmaaldrich.com/KR/ko/sds/sial/402788</v>
      </c>
      <c r="V45" s="34" t="s">
        <v>132</v>
      </c>
    </row>
    <row r="46" spans="1:22">
      <c r="A46" s="35" t="s">
        <v>133</v>
      </c>
      <c r="B46" s="3" t="s">
        <v>130</v>
      </c>
      <c r="C46" s="35" t="s">
        <v>126</v>
      </c>
      <c r="D46" s="34" t="str">
        <f>IF(OR(E46="", H46=""), V46, IFERROR(IF(VLOOKUP(E46&amp;"|"&amp;H46&amp;"", DB!$A:$N, 4, FALSE)="", V46, VLOOKUP(E46&amp;"|"&amp;H46&amp;"", DB!$A:$N, 4, FALSE)), V46))</f>
        <v>p-Chloranil</v>
      </c>
      <c r="E46" s="14" t="s">
        <v>202</v>
      </c>
      <c r="F46" s="35" t="s">
        <v>127</v>
      </c>
      <c r="G46" s="35" t="str">
        <f>IF(OR(E46="", H46=""), "", IFERROR(VLOOKUP(E46&amp;"|"&amp;H46&amp;"", DB!$A:$N, 5, FALSE), ""))</f>
        <v>118-75-2</v>
      </c>
      <c r="H46" s="10" t="s">
        <v>214</v>
      </c>
      <c r="I46" s="35"/>
      <c r="J46" s="35" t="str">
        <f>IFERROR(IF(OR(VLOOKUP(E46&amp;"|"&amp;H46&amp;"", DB!$A:$N, 6, FALSE)="", VLOOKUP(E46&amp;"|"&amp;H46&amp;"", DB!$A:$N, 6, FALSE)="-"), "", VLOOKUP(E46&amp;"|"&amp;H46&amp;"", DB!$A:$N, 6, FALSE)), "")</f>
        <v>RT</v>
      </c>
      <c r="K46" s="35"/>
      <c r="L46" s="35">
        <v>1</v>
      </c>
      <c r="M46" s="35"/>
      <c r="N46" s="35">
        <f t="shared" si="0"/>
        <v>1</v>
      </c>
      <c r="O46" s="34"/>
      <c r="P46" s="34" t="str">
        <f>IF(OR(E46="", H46=""), "", IFERROR(IF(VLOOKUP(E46&amp;"|"&amp;H46&amp;"", DB!$A:$N, 7, FALSE)="","-",VLOOKUP(E46&amp;"|"&amp;H46&amp;"", DB!$A:$N, 7, FALSE)), "-"))</f>
        <v>-</v>
      </c>
      <c r="Q46" s="16" t="str">
        <f>IF(OR(E46="", H46=""), "", IFERROR(IF(VLOOKUP(E46&amp;"|"&amp;H46&amp;"", DB!$A:$N, 8, FALSE)="","-",VLOOKUP(E46&amp;"|"&amp;H46&amp;"", DB!$A:$N, 8, FALSE)), "-"))</f>
        <v>▲ Warning</v>
      </c>
      <c r="R46" s="15" t="str">
        <f>IF(OR(E46="", H46=""), "", IFERROR(IF(VLOOKUP(E46&amp;"|"&amp;H46&amp;"", DB!$A:$N, 9, FALSE)="","-",VLOOKUP(E46&amp;"|"&amp;H46&amp;"", DB!$A:$N, 9, FALSE)), "-"))</f>
        <v>● Toxic, ▲ Corrosive / Eye Damage, ◆ Irritant / Sensitizer, ■ Environmental Hazard</v>
      </c>
      <c r="S46" s="34" t="str">
        <f>IF(OR(E46="", H46=""), "", IFERROR(IF(VLOOKUP(E46&amp;"|"&amp;H46&amp;"", DB!$A:$N, 10, FALSE)="","-",VLOOKUP(E46&amp;"|"&amp;H46&amp;"", DB!$A:$N, 10, FALSE)), "-"))</f>
        <v>H317: May cause an allergic skin reaction / H318: Causes serious eye damage / H410: Very toxic to aquatic life with long lasting effects / H315: Causes skin irritation</v>
      </c>
      <c r="T46" s="34" t="str">
        <f>IF(OR(E46="", H46=""), "", IFERROR(IF(VLOOKUP(E46&amp;"|"&amp;H46&amp;"", DB!$A:$N, 11, FALSE)="","-",VLOOKUP(E46&amp;"|"&amp;H46&amp;"", DB!$A:$N, 11, FALSE)), "-"))</f>
        <v>https://www.sigmaaldrich.com/KR/en/product/mm/802361</v>
      </c>
      <c r="U46" s="34" t="str">
        <f>IF(OR(E46="", H46=""), "", IFERROR(IF(VLOOKUP(E46&amp;"|"&amp;H46&amp;"", DB!$A:$N, 12, FALSE)="","-",VLOOKUP(E46&amp;"|"&amp;H46&amp;"", DB!$A:$N, 12, FALSE)), "-"))</f>
        <v>https://www.sigmaaldrich.com/KR/ko/sds/mm/8.02361</v>
      </c>
      <c r="V46" s="34" t="s">
        <v>134</v>
      </c>
    </row>
    <row r="47" spans="1:22">
      <c r="A47" s="35"/>
      <c r="B47" s="3"/>
      <c r="C47" s="35"/>
      <c r="D47" s="34" t="str">
        <f>IF(OR(E47="", H47=""), V47, IFERROR(IF(VLOOKUP(E47&amp;"|"&amp;H47&amp;"", DB!$A:$N, 4, FALSE)="", V47, VLOOKUP(E47&amp;"|"&amp;H47&amp;"", DB!$A:$N, 4, FALSE)), V47))</f>
        <v>DTSSP (3,3′-dithiobis(sulfosuccinimidyl propionate))</v>
      </c>
      <c r="E47" s="14" t="s">
        <v>202</v>
      </c>
      <c r="F47" s="35"/>
      <c r="G47" s="35" t="str">
        <f>IF(OR(E47="", H47=""), "", IFERROR(VLOOKUP(E47&amp;"|"&amp;H47&amp;"", DB!$A:$N, 5, FALSE), ""))</f>
        <v>81069-02-5</v>
      </c>
      <c r="H47" s="10" t="s">
        <v>215</v>
      </c>
      <c r="I47" s="35"/>
      <c r="J47" s="35" t="str">
        <f>IFERROR(IF(OR(VLOOKUP(E47&amp;"|"&amp;H47&amp;"", DB!$A:$N, 6, FALSE)="", VLOOKUP(E47&amp;"|"&amp;H47&amp;"", DB!$A:$N, 6, FALSE)="-"), "", VLOOKUP(E47&amp;"|"&amp;H47&amp;"", DB!$A:$N, 6, FALSE)), "")</f>
        <v>R</v>
      </c>
      <c r="K47" s="35"/>
      <c r="L47" s="35"/>
      <c r="M47" s="35"/>
      <c r="N47" s="35" t="str">
        <f t="shared" si="0"/>
        <v>X</v>
      </c>
      <c r="O47" s="34"/>
      <c r="P47" s="34" t="str">
        <f>IF(OR(E47="", H47=""), "", IFERROR(IF(VLOOKUP(E47&amp;"|"&amp;H47&amp;"", DB!$A:$N, 7, FALSE)="","-",VLOOKUP(E47&amp;"|"&amp;H47&amp;"", DB!$A:$N, 7, FALSE)), "-"))</f>
        <v>-</v>
      </c>
      <c r="Q47" s="34" t="str">
        <f>IF(OR(E47="", H47=""), "", IFERROR(IF(VLOOKUP(E47&amp;"|"&amp;H47&amp;"", DB!$A:$N, 8, FALSE)="","-",VLOOKUP(E47&amp;"|"&amp;H47&amp;"", DB!$A:$N, 8, FALSE)), "-"))</f>
        <v>-</v>
      </c>
      <c r="R47" s="34" t="str">
        <f>IF(OR(E47="", H47=""), "", IFERROR(IF(VLOOKUP(E47&amp;"|"&amp;H47&amp;"", DB!$A:$N, 9, FALSE)="","-",VLOOKUP(E47&amp;"|"&amp;H47&amp;"", DB!$A:$N, 9, FALSE)), "-"))</f>
        <v>-</v>
      </c>
      <c r="S47" s="34" t="str">
        <f>IF(OR(E47="", H47=""), "", IFERROR(IF(VLOOKUP(E47&amp;"|"&amp;H47&amp;"", DB!$A:$N, 10, FALSE)="","-",VLOOKUP(E47&amp;"|"&amp;H47&amp;"", DB!$A:$N, 10, FALSE)), "-"))</f>
        <v>-</v>
      </c>
      <c r="T47" s="34" t="str">
        <f>IF(OR(E47="", H47=""), "", IFERROR(IF(VLOOKUP(E47&amp;"|"&amp;H47&amp;"", DB!$A:$N, 11, FALSE)="","-",VLOOKUP(E47&amp;"|"&amp;H47&amp;"", DB!$A:$N, 11, FALSE)), "-"))</f>
        <v>https://www.sigmaaldrich.com/KR/en/product/aldrich/803200</v>
      </c>
      <c r="U47" s="34" t="str">
        <f>IF(OR(E47="", H47=""), "", IFERROR(IF(VLOOKUP(E47&amp;"|"&amp;H47&amp;"", DB!$A:$N, 12, FALSE)="","-",VLOOKUP(E47&amp;"|"&amp;H47&amp;"", DB!$A:$N, 12, FALSE)), "-"))</f>
        <v>https://www.sigmaaldrich.com/KR/ko/sds/aldrich/803200</v>
      </c>
      <c r="V47" s="34" t="s">
        <v>136</v>
      </c>
    </row>
    <row r="48" spans="1:22">
      <c r="A48" s="35"/>
      <c r="B48" s="3"/>
      <c r="C48" s="35"/>
      <c r="D48" s="34" t="str">
        <f>IF(OR(E48="", H48=""), V48, IFERROR(IF(VLOOKUP(E48&amp;"|"&amp;H48&amp;"", DB!$A:$N, 4, FALSE)="", V48, VLOOKUP(E48&amp;"|"&amp;H48&amp;"", DB!$A:$N, 4, FALSE)), V48))</f>
        <v>Acrylic anhydride</v>
      </c>
      <c r="E48" s="14" t="s">
        <v>202</v>
      </c>
      <c r="F48" s="35"/>
      <c r="G48" s="35" t="str">
        <f>IF(OR(E48="", H48=""), "", IFERROR(VLOOKUP(E48&amp;"|"&amp;H48&amp;"", DB!$A:$N, 5, FALSE), ""))</f>
        <v>2051-76-5</v>
      </c>
      <c r="H48" s="3" t="s">
        <v>216</v>
      </c>
      <c r="I48" s="35"/>
      <c r="J48" s="35" t="str">
        <f>IFERROR(IF(OR(VLOOKUP(E48&amp;"|"&amp;H48&amp;"", DB!$A:$N, 6, FALSE)="", VLOOKUP(E48&amp;"|"&amp;H48&amp;"", DB!$A:$N, 6, FALSE)="-"), "", VLOOKUP(E48&amp;"|"&amp;H48&amp;"", DB!$A:$N, 6, FALSE)), "")</f>
        <v>R</v>
      </c>
      <c r="K48" s="35"/>
      <c r="L48" s="35"/>
      <c r="M48" s="35"/>
      <c r="N48" s="35" t="str">
        <f t="shared" si="0"/>
        <v>X</v>
      </c>
      <c r="O48" s="34"/>
      <c r="P48" s="34" t="str">
        <f>IF(OR(E48="", H48=""), "", IFERROR(IF(VLOOKUP(E48&amp;"|"&amp;H48&amp;"", DB!$A:$N, 7, FALSE)="","-",VLOOKUP(E48&amp;"|"&amp;H48&amp;"", DB!$A:$N, 7, FALSE)), "-"))</f>
        <v>-</v>
      </c>
      <c r="Q48" s="16" t="str">
        <f>IF(OR(E48="", H48=""), "", IFERROR(IF(VLOOKUP(E48&amp;"|"&amp;H48&amp;"", DB!$A:$N, 8, FALSE)="","-",VLOOKUP(E48&amp;"|"&amp;H48&amp;"", DB!$A:$N, 8, FALSE)), "-"))</f>
        <v>▲ Warning</v>
      </c>
      <c r="R48" s="17" t="str">
        <f>IF(OR(E48="", H48=""), "", IFERROR(IF(VLOOKUP(E48&amp;"|"&amp;H48&amp;"", DB!$A:$N, 9, FALSE)="","-",VLOOKUP(E48&amp;"|"&amp;H48&amp;"", DB!$A:$N, 9, FALSE)), "-"))</f>
        <v>◆ Irritant / Sensitizer</v>
      </c>
      <c r="S48" s="34" t="str">
        <f>IF(OR(E48="", H48=""), "", IFERROR(IF(VLOOKUP(E48&amp;"|"&amp;H48&amp;"", DB!$A:$N, 10, FALSE)="","-",VLOOKUP(E48&amp;"|"&amp;H48&amp;"", DB!$A:$N, 10, FALSE)), "-"))</f>
        <v>H315: Causes skin irritation / H317: May cause an allergic skin reaction / H319: Causes serious eye irritation / H335: May cause respiratory irritation / H302: Harmful if swallowed</v>
      </c>
      <c r="T48" s="34" t="str">
        <f>IF(OR(E48="", H48=""), "", IFERROR(IF(VLOOKUP(E48&amp;"|"&amp;H48&amp;"", DB!$A:$N, 11, FALSE)="","-",VLOOKUP(E48&amp;"|"&amp;H48&amp;"", DB!$A:$N, 11, FALSE)), "-"))</f>
        <v>https://www.sigmaaldrich.com/KR/en/product/aldrich/909270</v>
      </c>
      <c r="U48" s="34" t="str">
        <f>IF(OR(E48="", H48=""), "", IFERROR(IF(VLOOKUP(E48&amp;"|"&amp;H48&amp;"", DB!$A:$N, 12, FALSE)="","-",VLOOKUP(E48&amp;"|"&amp;H48&amp;"", DB!$A:$N, 12, FALSE)), "-"))</f>
        <v>https://www.sigmaaldrich.com/KR/ko/sds/aldrich/909270</v>
      </c>
      <c r="V48" s="34" t="s">
        <v>138</v>
      </c>
    </row>
    <row r="49" spans="1:22">
      <c r="A49" s="35"/>
      <c r="B49" s="3"/>
      <c r="C49" s="35"/>
      <c r="D49" s="34" t="str">
        <f>IF(OR(E49="", H49=""), V49, IFERROR(IF(VLOOKUP(E49&amp;"|"&amp;H49&amp;"", DB!$A:$N, 4, FALSE)="", V49, VLOOKUP(E49&amp;"|"&amp;H49&amp;"", DB!$A:$N, 4, FALSE)), V49))</f>
        <v>Alexa Fluor™ 488 Hydrazide</v>
      </c>
      <c r="E49" s="14" t="s">
        <v>217</v>
      </c>
      <c r="F49" s="35"/>
      <c r="G49" s="35">
        <f>IF(OR(E49="", H49=""), "", IFERROR(VLOOKUP(E49&amp;"|"&amp;H49&amp;"", DB!$A:$N, 5, FALSE), ""))</f>
        <v>0</v>
      </c>
      <c r="H49" s="10" t="s">
        <v>218</v>
      </c>
      <c r="I49" s="35"/>
      <c r="J49" s="35" t="str">
        <f>IFERROR(IF(OR(VLOOKUP(E49&amp;"|"&amp;H49&amp;"", DB!$A:$N, 6, FALSE)="", VLOOKUP(E49&amp;"|"&amp;H49&amp;"", DB!$A:$N, 6, FALSE)="-"), "", VLOOKUP(E49&amp;"|"&amp;H49&amp;"", DB!$A:$N, 6, FALSE)), "")</f>
        <v>RT</v>
      </c>
      <c r="K49" s="35"/>
      <c r="L49" s="35"/>
      <c r="M49" s="35"/>
      <c r="N49" s="35" t="str">
        <f t="shared" si="0"/>
        <v>X</v>
      </c>
      <c r="O49" s="34"/>
      <c r="P49" s="34" t="str">
        <f>IF(OR(E49="", H49=""), "", IFERROR(IF(VLOOKUP(E49&amp;"|"&amp;H49&amp;"", DB!$A:$N, 7, FALSE)="","-",VLOOKUP(E49&amp;"|"&amp;H49&amp;"", DB!$A:$N, 7, FALSE)), "-"))</f>
        <v>-</v>
      </c>
      <c r="Q49" s="34" t="str">
        <f>IF(OR(E49="", H49=""), "", IFERROR(IF(VLOOKUP(E49&amp;"|"&amp;H49&amp;"", DB!$A:$N, 8, FALSE)="","-",VLOOKUP(E49&amp;"|"&amp;H49&amp;"", DB!$A:$N, 8, FALSE)), "-"))</f>
        <v>-</v>
      </c>
      <c r="R49" s="34" t="str">
        <f>IF(OR(E49="", H49=""), "", IFERROR(IF(VLOOKUP(E49&amp;"|"&amp;H49&amp;"", DB!$A:$N, 9, FALSE)="","-",VLOOKUP(E49&amp;"|"&amp;H49&amp;"", DB!$A:$N, 9, FALSE)), "-"))</f>
        <v>-</v>
      </c>
      <c r="S49" s="34" t="str">
        <f>IF(OR(E49="", H49=""), "", IFERROR(IF(VLOOKUP(E49&amp;"|"&amp;H49&amp;"", DB!$A:$N, 10, FALSE)="","-",VLOOKUP(E49&amp;"|"&amp;H49&amp;"", DB!$A:$N, 10, FALSE)), "-"))</f>
        <v>-</v>
      </c>
      <c r="T49" s="34" t="str">
        <f>IF(OR(E49="", H49=""), "", IFERROR(IF(VLOOKUP(E49&amp;"|"&amp;H49&amp;"", DB!$A:$N, 11, FALSE)="","-",VLOOKUP(E49&amp;"|"&amp;H49&amp;"", DB!$A:$N, 11, FALSE)), "-"))</f>
        <v>https://www.thermofisher.com/order/catalog/product/A10436</v>
      </c>
      <c r="U49" s="34" t="str">
        <f>IF(OR(E49="", H49=""), "", IFERROR(IF(VLOOKUP(E49&amp;"|"&amp;H49&amp;"", DB!$A:$N, 12, FALSE)="","-",VLOOKUP(E49&amp;"|"&amp;H49&amp;"", DB!$A:$N, 12, FALSE)), "-"))</f>
        <v>https://documents.thermofisher.com/TFS-Assets/LSG/SDS/A10436_MTR-NALT_EN.pdf</v>
      </c>
      <c r="V49" s="34" t="s">
        <v>141</v>
      </c>
    </row>
    <row r="50" spans="1:22">
      <c r="A50" s="35"/>
      <c r="B50" s="3"/>
      <c r="C50" s="35"/>
      <c r="D50" s="34" t="str">
        <f>IF(OR(E50="", H50=""), V50, IFERROR(IF(VLOOKUP(E50&amp;"|"&amp;H50&amp;"", DB!$A:$N, 4, FALSE)="", V50, VLOOKUP(E50&amp;"|"&amp;H50&amp;"", DB!$A:$N, 4, FALSE)), V50))</f>
        <v>Alexa Fluor 488 Recombinant F(ab)-Rabbit Monoclonal Antibody (15H9L93)</v>
      </c>
      <c r="E50" s="14" t="s">
        <v>217</v>
      </c>
      <c r="F50" s="35"/>
      <c r="G50" s="35">
        <f>IF(OR(E50="", H50=""), "", IFERROR(VLOOKUP(E50&amp;"|"&amp;H50&amp;"", DB!$A:$N, 5, FALSE), ""))</f>
        <v>0</v>
      </c>
      <c r="H50" s="10" t="s">
        <v>219</v>
      </c>
      <c r="I50" s="35"/>
      <c r="J50" s="35" t="str">
        <f>IFERROR(IF(OR(VLOOKUP(E50&amp;"|"&amp;H50&amp;"", DB!$A:$N, 6, FALSE)="", VLOOKUP(E50&amp;"|"&amp;H50&amp;"", DB!$A:$N, 6, FALSE)="-"), "", VLOOKUP(E50&amp;"|"&amp;H50&amp;"", DB!$A:$N, 6, FALSE)), "")</f>
        <v>RT</v>
      </c>
      <c r="K50" s="35"/>
      <c r="L50" s="35"/>
      <c r="M50" s="35"/>
      <c r="N50" s="35" t="str">
        <f t="shared" si="0"/>
        <v>X</v>
      </c>
      <c r="O50" s="34"/>
      <c r="P50" s="34" t="str">
        <f>IF(OR(E50="", H50=""), "", IFERROR(IF(VLOOKUP(E50&amp;"|"&amp;H50&amp;"", DB!$A:$N, 7, FALSE)="","-",VLOOKUP(E50&amp;"|"&amp;H50&amp;"", DB!$A:$N, 7, FALSE)), "-"))</f>
        <v>-</v>
      </c>
      <c r="Q50" s="34" t="str">
        <f>IF(OR(E50="", H50=""), "", IFERROR(IF(VLOOKUP(E50&amp;"|"&amp;H50&amp;"", DB!$A:$N, 8, FALSE)="","-",VLOOKUP(E50&amp;"|"&amp;H50&amp;"", DB!$A:$N, 8, FALSE)), "-"))</f>
        <v>-</v>
      </c>
      <c r="R50" s="34" t="str">
        <f>IF(OR(E50="", H50=""), "", IFERROR(IF(VLOOKUP(E50&amp;"|"&amp;H50&amp;"", DB!$A:$N, 9, FALSE)="","-",VLOOKUP(E50&amp;"|"&amp;H50&amp;"", DB!$A:$N, 9, FALSE)), "-"))</f>
        <v>-</v>
      </c>
      <c r="S50" s="34" t="str">
        <f>IF(OR(E50="", H50=""), "", IFERROR(IF(VLOOKUP(E50&amp;"|"&amp;H50&amp;"", DB!$A:$N, 10, FALSE)="","-",VLOOKUP(E50&amp;"|"&amp;H50&amp;"", DB!$A:$N, 10, FALSE)), "-"))</f>
        <v>-</v>
      </c>
      <c r="T50" s="34" t="str">
        <f>IF(OR(E50="", H50=""), "", IFERROR(IF(VLOOKUP(E50&amp;"|"&amp;H50&amp;"", DB!$A:$N, 11, FALSE)="","-",VLOOKUP(E50&amp;"|"&amp;H50&amp;"", DB!$A:$N, 11, FALSE)), "-"))</f>
        <v>https://www.thermofisher.com/order/catalog/product/704060F</v>
      </c>
      <c r="U50" s="34" t="str">
        <f>IF(OR(E50="", H50=""), "", IFERROR(IF(VLOOKUP(E50&amp;"|"&amp;H50&amp;"", DB!$A:$N, 12, FALSE)="","-",VLOOKUP(E50&amp;"|"&amp;H50&amp;"", DB!$A:$N, 12, FALSE)), "-"))</f>
        <v>https://www.thermofisher.com/search/browse/results?term=704060F</v>
      </c>
      <c r="V50" s="34" t="s">
        <v>143</v>
      </c>
    </row>
    <row r="51" spans="1:22">
      <c r="A51" s="35" t="s">
        <v>144</v>
      </c>
      <c r="B51" s="3" t="s">
        <v>145</v>
      </c>
      <c r="C51" s="35" t="s">
        <v>126</v>
      </c>
      <c r="D51" s="34" t="str">
        <f>IF(OR(E51="", H51=""), V51, IFERROR(IF(VLOOKUP(E51&amp;"|"&amp;H51&amp;"", DB!$A:$N, 4, FALSE)="", V51, VLOOKUP(E51&amp;"|"&amp;H51&amp;"", DB!$A:$N, 4, FALSE)), V51))</f>
        <v>1,1'-Carbonyldiimidazole</v>
      </c>
      <c r="E51" s="34" t="s">
        <v>220</v>
      </c>
      <c r="F51" s="35" t="s">
        <v>147</v>
      </c>
      <c r="G51" s="35" t="str">
        <f>IF(OR(E51="", H51=""), "", IFERROR(VLOOKUP(E51&amp;"|"&amp;H51&amp;"", DB!$A:$N, 5, FALSE), ""))</f>
        <v>530-62-1</v>
      </c>
      <c r="H51" s="3" t="s">
        <v>221</v>
      </c>
      <c r="I51" s="35"/>
      <c r="J51" s="35" t="str">
        <f>IFERROR(IF(OR(VLOOKUP(E51&amp;"|"&amp;H51&amp;"", DB!$A:$N, 6, FALSE)="", VLOOKUP(E51&amp;"|"&amp;H51&amp;"", DB!$A:$N, 6, FALSE)="-"), "", VLOOKUP(E51&amp;"|"&amp;H51&amp;"", DB!$A:$N, 6, FALSE)), "")</f>
        <v>RT</v>
      </c>
      <c r="K51" s="35"/>
      <c r="L51" s="35">
        <v>1</v>
      </c>
      <c r="M51" s="35"/>
      <c r="N51" s="35">
        <f t="shared" si="0"/>
        <v>1</v>
      </c>
      <c r="O51" s="34"/>
      <c r="P51" s="34" t="str">
        <f>IF(OR(E51="", H51=""), "", IFERROR(IF(VLOOKUP(E51&amp;"|"&amp;H51&amp;"", DB!$A:$N, 7, FALSE)="","-",VLOOKUP(E51&amp;"|"&amp;H51&amp;"", DB!$A:$N, 7, FALSE)), "-"))</f>
        <v>Moisture, Heat</v>
      </c>
      <c r="Q51" s="15" t="str">
        <f>IF(OR(E51="", H51=""), "", IFERROR(IF(VLOOKUP(E51&amp;"|"&amp;H51&amp;"", DB!$A:$N, 8, FALSE)="","-",VLOOKUP(E51&amp;"|"&amp;H51&amp;"", DB!$A:$N, 8, FALSE)), "-"))</f>
        <v>● Danger</v>
      </c>
      <c r="R51" s="16" t="str">
        <f>IF(OR(E51="", H51=""), "", IFERROR(IF(VLOOKUP(E51&amp;"|"&amp;H51&amp;"", DB!$A:$N, 9, FALSE)="","-",VLOOKUP(E51&amp;"|"&amp;H51&amp;"", DB!$A:$N, 9, FALSE)), "-"))</f>
        <v>▲ Corrosive / Eye Damage</v>
      </c>
      <c r="S51" s="34" t="str">
        <f>IF(OR(E51="", H51=""), "", IFERROR(IF(VLOOKUP(E51&amp;"|"&amp;H51&amp;"", DB!$A:$N, 10, FALSE)="","-",VLOOKUP(E51&amp;"|"&amp;H51&amp;"", DB!$A:$N, 10, FALSE)), "-"))</f>
        <v>H302 : Harmful if swallowed. H314 : Causes severe skin burns and eye damage.</v>
      </c>
      <c r="T51" s="34" t="str">
        <f>IF(OR(E51="", H51=""), "", IFERROR(IF(VLOOKUP(E51&amp;"|"&amp;H51&amp;"", DB!$A:$N, 11, FALSE)="","-",VLOOKUP(E51&amp;"|"&amp;H51&amp;"", DB!$A:$N, 11, FALSE)), "-"))</f>
        <v>https://www.tcichemicals.com/KR/en/p/c0119</v>
      </c>
      <c r="U51" s="34" t="str">
        <f>IF(OR(E51="", H51=""), "", IFERROR(IF(VLOOKUP(E51&amp;"|"&amp;H51&amp;"", DB!$A:$N, 12, FALSE)="","-",VLOOKUP(E51&amp;"|"&amp;H51&amp;"", DB!$A:$N, 12, FALSE)), "-"))</f>
        <v>https://www.tcichemicals.com/KR/en/documentSearch</v>
      </c>
      <c r="V51" s="34" t="s">
        <v>148</v>
      </c>
    </row>
    <row r="52" spans="1:22">
      <c r="A52" s="35"/>
      <c r="B52" s="3"/>
      <c r="C52" s="35"/>
      <c r="D52" s="34" t="s">
        <v>149</v>
      </c>
      <c r="E52" s="34"/>
      <c r="F52" s="35"/>
      <c r="G52" s="35"/>
      <c r="H52" s="3"/>
      <c r="I52" s="35"/>
      <c r="J52" s="35" t="str">
        <f>IF(OR(TRIM(E52)="", TRIM(H52)=""), "", IFERROR(IF(OR(VLOOKUP(E52&amp;"|"&amp;H52&amp;"", DB!$A:$N, 6, FALSE)="", VLOOKUP(E52&amp;"|"&amp;H52&amp;"", DB!$A:$N, 6, FALSE)="-"), "", VLOOKUP(E52&amp;"|"&amp;H52&amp;"", DB!$A:$N, 6, FALSE)), ""))</f>
        <v/>
      </c>
      <c r="K52" s="35"/>
      <c r="L52" s="35"/>
      <c r="M52" s="35"/>
      <c r="N52" s="35" t="str">
        <f t="shared" si="0"/>
        <v>X</v>
      </c>
      <c r="O52" s="34"/>
      <c r="P52" s="34"/>
      <c r="Q52" s="34"/>
      <c r="R52" s="34"/>
      <c r="S52" s="34"/>
      <c r="T52" s="34"/>
      <c r="U52" s="34"/>
      <c r="V52" s="34"/>
    </row>
    <row r="53" spans="1:22">
      <c r="A53" s="35" t="s">
        <v>150</v>
      </c>
      <c r="B53" s="3" t="s">
        <v>151</v>
      </c>
      <c r="C53" s="35" t="s">
        <v>126</v>
      </c>
      <c r="D53" s="34" t="str">
        <f>IF(OR(E53="", H53=""), V53, IFERROR(IF(VLOOKUP(E53&amp;"|"&amp;H53&amp;"", DB!$A:$N, 4, FALSE)="", V53, VLOOKUP(E53&amp;"|"&amp;H53&amp;"", DB!$A:$N, 4, FALSE)), V53))</f>
        <v>3-Bromopropionyl Chloride</v>
      </c>
      <c r="E53" s="34" t="s">
        <v>220</v>
      </c>
      <c r="F53" s="35" t="s">
        <v>147</v>
      </c>
      <c r="G53" s="35" t="str">
        <f>IF(OR(E53="", H53=""), "", IFERROR(VLOOKUP(E53&amp;"|"&amp;H53&amp;"", DB!$A:$N, 5, FALSE), ""))</f>
        <v>15486-96-1</v>
      </c>
      <c r="H53" s="3" t="s">
        <v>222</v>
      </c>
      <c r="I53" s="35"/>
      <c r="J53" s="35" t="str">
        <f>IFERROR(IF(OR(VLOOKUP(E53&amp;"|"&amp;H53&amp;"", DB!$A:$N, 6, FALSE)="", VLOOKUP(E53&amp;"|"&amp;H53&amp;"", DB!$A:$N, 6, FALSE)="-"), "", VLOOKUP(E53&amp;"|"&amp;H53&amp;"", DB!$A:$N, 6, FALSE)), "")</f>
        <v>RT</v>
      </c>
      <c r="K53" s="35"/>
      <c r="L53" s="35">
        <v>1</v>
      </c>
      <c r="M53" s="35"/>
      <c r="N53" s="35">
        <f t="shared" si="0"/>
        <v>1</v>
      </c>
      <c r="O53" s="34"/>
      <c r="P53" s="34" t="str">
        <f>IF(OR(E53="", H53=""), "", IFERROR(IF(VLOOKUP(E53&amp;"|"&amp;H53&amp;"", DB!$A:$N, 7, FALSE)="","-",VLOOKUP(E53&amp;"|"&amp;H53&amp;"", DB!$A:$N, 7, FALSE)), "-"))</f>
        <v>Moisture Sensitive, Heat Sensitive</v>
      </c>
      <c r="Q53" s="15" t="str">
        <f>IF(OR(E53="", H53=""), "", IFERROR(IF(VLOOKUP(E53&amp;"|"&amp;H53&amp;"", DB!$A:$N, 8, FALSE)="","-",VLOOKUP(E53&amp;"|"&amp;H53&amp;"", DB!$A:$N, 8, FALSE)), "-"))</f>
        <v>● Danger</v>
      </c>
      <c r="R53" s="16" t="str">
        <f>IF(OR(E53="", H53=""), "", IFERROR(IF(VLOOKUP(E53&amp;"|"&amp;H53&amp;"", DB!$A:$N, 9, FALSE)="","-",VLOOKUP(E53&amp;"|"&amp;H53&amp;"", DB!$A:$N, 9, FALSE)), "-"))</f>
        <v>▲ Corrosive / Eye Damage</v>
      </c>
      <c r="S53" s="34" t="str">
        <f>IF(OR(E53="", H53=""), "", IFERROR(IF(VLOOKUP(E53&amp;"|"&amp;H53&amp;"", DB!$A:$N, 10, FALSE)="","-",VLOOKUP(E53&amp;"|"&amp;H53&amp;"", DB!$A:$N, 10, FALSE)), "-"))</f>
        <v>H314 : Causes severe skin burns and eye damage. H227 : Combustible liquid. H290 : May be corrosive to metals.</v>
      </c>
      <c r="T53" s="34" t="str">
        <f>IF(OR(E53="", H53=""), "", IFERROR(IF(VLOOKUP(E53&amp;"|"&amp;H53&amp;"", DB!$A:$N, 11, FALSE)="","-",VLOOKUP(E53&amp;"|"&amp;H53&amp;"", DB!$A:$N, 11, FALSE)), "-"))</f>
        <v>https://www.tcichemicals.com/KR/en/p/B2065</v>
      </c>
      <c r="U53" s="34" t="str">
        <f>IF(OR(E53="", H53=""), "", IFERROR(IF(VLOOKUP(E53&amp;"|"&amp;H53&amp;"", DB!$A:$N, 12, FALSE)="","-",VLOOKUP(E53&amp;"|"&amp;H53&amp;"", DB!$A:$N, 12, FALSE)), "-"))</f>
        <v>https://www.tcichemicals.com/KR/en/documentSearch</v>
      </c>
      <c r="V53" s="34" t="s">
        <v>153</v>
      </c>
    </row>
    <row r="54" spans="1:22">
      <c r="A54" s="35" t="s">
        <v>200</v>
      </c>
      <c r="B54" s="3" t="s">
        <v>151</v>
      </c>
      <c r="C54" s="35" t="s">
        <v>35</v>
      </c>
      <c r="D54" s="34" t="s">
        <v>201</v>
      </c>
      <c r="E54" s="34"/>
      <c r="F54" s="35"/>
      <c r="G54" s="35"/>
      <c r="H54" s="3"/>
      <c r="I54" s="35"/>
      <c r="J54" s="35" t="str">
        <f>IF(OR(TRIM(E54)="", TRIM(H54)=""), "", IFERROR(IF(OR(VLOOKUP(E54&amp;"|"&amp;H54&amp;"", DB!$A:$N, 6, FALSE)="", VLOOKUP(E54&amp;"|"&amp;H54&amp;"", DB!$A:$N, 6, FALSE)="-"), "", VLOOKUP(E54&amp;"|"&amp;H54&amp;"", DB!$A:$N, 6, FALSE)), ""))</f>
        <v/>
      </c>
      <c r="K54" s="35"/>
      <c r="L54" s="35"/>
      <c r="M54" s="35"/>
      <c r="N54" s="35" t="str">
        <f t="shared" si="0"/>
        <v>X</v>
      </c>
      <c r="O54" s="34"/>
      <c r="P54" s="34"/>
      <c r="Q54" s="34"/>
      <c r="R54" s="34"/>
      <c r="S54" s="34"/>
      <c r="T54" s="34"/>
      <c r="U54" s="34"/>
      <c r="V54" s="34"/>
    </row>
    <row r="55" spans="1:22">
      <c r="A55" s="35" t="s">
        <v>223</v>
      </c>
      <c r="B55" s="3" t="s">
        <v>224</v>
      </c>
      <c r="C55" s="35" t="s">
        <v>126</v>
      </c>
      <c r="D55" s="34" t="s">
        <v>225</v>
      </c>
      <c r="E55" s="34"/>
      <c r="F55" s="35"/>
      <c r="G55" s="35"/>
      <c r="H55" s="3"/>
      <c r="I55" s="35"/>
      <c r="J55" s="35" t="str">
        <f>IF(OR(TRIM(E55)="", TRIM(H55)=""), "", IFERROR(IF(OR(VLOOKUP(E55&amp;"|"&amp;H55&amp;"", DB!$A:$N, 6, FALSE)="", VLOOKUP(E55&amp;"|"&amp;H55&amp;"", DB!$A:$N, 6, FALSE)="-"), "", VLOOKUP(E55&amp;"|"&amp;H55&amp;"", DB!$A:$N, 6, FALSE)), ""))</f>
        <v/>
      </c>
      <c r="K55" s="35"/>
      <c r="L55" s="35"/>
      <c r="M55" s="35"/>
      <c r="N55" s="35" t="str">
        <f t="shared" si="0"/>
        <v>X</v>
      </c>
      <c r="O55" s="34"/>
      <c r="P55" s="34"/>
      <c r="Q55" s="34"/>
      <c r="R55" s="34"/>
      <c r="S55" s="34"/>
      <c r="T55" s="34"/>
      <c r="U55" s="34"/>
      <c r="V55" s="34"/>
    </row>
    <row r="56" spans="1:22">
      <c r="A56" s="35" t="s">
        <v>269</v>
      </c>
      <c r="B56" s="3" t="s">
        <v>145</v>
      </c>
      <c r="C56" s="35" t="s">
        <v>126</v>
      </c>
      <c r="D56" s="34" t="str">
        <f>IF(OR(E56="", H56=""), V56, IFERROR(IF(VLOOKUP(E56&amp;"|"&amp;H56&amp;"", DB!$A:$N, 4, FALSE)="", V56, VLOOKUP(E56&amp;"|"&amp;H56&amp;"", DB!$A:$N, 4, FALSE)), V56))</f>
        <v>Bis(2-hydroxyethyl) Disulfide</v>
      </c>
      <c r="E56" s="34" t="s">
        <v>220</v>
      </c>
      <c r="F56" s="35" t="s">
        <v>147</v>
      </c>
      <c r="G56" s="35" t="str">
        <f>IF(OR(E56="", H56=""), "", IFERROR(VLOOKUP(E56&amp;"|"&amp;H56&amp;"", DB!$A:$N, 5, FALSE), ""))</f>
        <v>1892-29-1</v>
      </c>
      <c r="H56" s="3" t="s">
        <v>257</v>
      </c>
      <c r="I56" s="35"/>
      <c r="J56" s="35" t="str">
        <f>IFERROR(IF(OR(VLOOKUP(E56&amp;"|"&amp;H56&amp;"", DB!$A:$N, 6, FALSE)="", VLOOKUP(E56&amp;"|"&amp;H56&amp;"", DB!$A:$N, 6, FALSE)="-"), "", VLOOKUP(E56&amp;"|"&amp;H56&amp;"", DB!$A:$N, 6, FALSE)), "")</f>
        <v>RT</v>
      </c>
      <c r="K56" s="35"/>
      <c r="L56" s="35">
        <v>1</v>
      </c>
      <c r="M56" s="35"/>
      <c r="N56" s="35">
        <f t="shared" si="0"/>
        <v>1</v>
      </c>
      <c r="O56" s="34"/>
      <c r="P56" s="34" t="str">
        <f>IF(OR(E56="", H56=""), "", IFERROR(IF(VLOOKUP(E56&amp;"|"&amp;H56&amp;"", DB!$A:$N, 7, FALSE)="","-",VLOOKUP(E56&amp;"|"&amp;H56&amp;"", DB!$A:$N, 7, FALSE)), "-"))</f>
        <v>Air</v>
      </c>
      <c r="Q56" s="15" t="str">
        <f>IF(OR(E56="", H56=""), "", IFERROR(IF(VLOOKUP(E56&amp;"|"&amp;H56&amp;"", DB!$A:$N, 8, FALSE)="","-",VLOOKUP(E56&amp;"|"&amp;H56&amp;"", DB!$A:$N, 8, FALSE)), "-"))</f>
        <v>● Danger</v>
      </c>
      <c r="R56" s="15" t="str">
        <f>IF(OR(E56="", H56=""), "", IFERROR(IF(VLOOKUP(E56&amp;"|"&amp;H56&amp;"", DB!$A:$N, 9, FALSE)="","-",VLOOKUP(E56&amp;"|"&amp;H56&amp;"", DB!$A:$N, 9, FALSE)), "-"))</f>
        <v>● Toxic, ◆ Irritant / Sensitizer</v>
      </c>
      <c r="S56" s="34" t="str">
        <f>IF(OR(E56="", H56=""), "", IFERROR(IF(VLOOKUP(E56&amp;"|"&amp;H56&amp;"", DB!$A:$N, 10, FALSE)="","-",VLOOKUP(E56&amp;"|"&amp;H56&amp;"", DB!$A:$N, 10, FALSE)), "-"))</f>
        <v>H301 : Toxic if swallowed. H315 : Causes skin irritation. H319 : Causes serious eye irritation.</v>
      </c>
      <c r="T56" s="34" t="str">
        <f>IF(OR(E56="", H56=""), "", IFERROR(IF(VLOOKUP(E56&amp;"|"&amp;H56&amp;"", DB!$A:$N, 11, FALSE)="","-",VLOOKUP(E56&amp;"|"&amp;H56&amp;"", DB!$A:$N, 11, FALSE)), "-"))</f>
        <v>https://www.tcichemicals.com/KR/en/p/b4263</v>
      </c>
      <c r="U56" s="34" t="str">
        <f>IF(OR(E56="", H56=""), "", IFERROR(IF(VLOOKUP(E56&amp;"|"&amp;H56&amp;"", DB!$A:$N, 12, FALSE)="","-",VLOOKUP(E56&amp;"|"&amp;H56&amp;"", DB!$A:$N, 12, FALSE)), "-"))</f>
        <v>https://www.tcichemicals.com/KR/en/documentSearch</v>
      </c>
      <c r="V56" s="34" t="s">
        <v>270</v>
      </c>
    </row>
    <row r="57" spans="1:22">
      <c r="A57" s="35" t="s">
        <v>377</v>
      </c>
      <c r="B57" s="3" t="s">
        <v>378</v>
      </c>
      <c r="C57" s="35" t="s">
        <v>78</v>
      </c>
      <c r="D57" s="34" t="s">
        <v>379</v>
      </c>
      <c r="E57" s="34"/>
      <c r="F57" s="35"/>
      <c r="G57" s="35"/>
      <c r="H57" s="3"/>
      <c r="I57" s="35"/>
      <c r="J57" s="35" t="str">
        <f>IF(OR(TRIM(E57)="", TRIM(H57)=""), "", IFERROR(IF(OR(VLOOKUP(E57&amp;"|"&amp;H57&amp;"", DB!$A:$N, 6, FALSE)="", VLOOKUP(E57&amp;"|"&amp;H57&amp;"", DB!$A:$N, 6, FALSE)="-"), "", VLOOKUP(E57&amp;"|"&amp;H57&amp;"", DB!$A:$N, 6, FALSE)), ""))</f>
        <v/>
      </c>
      <c r="K57" s="35"/>
      <c r="L57" s="35"/>
      <c r="M57" s="35"/>
      <c r="N57" s="35" t="str">
        <f t="shared" si="0"/>
        <v>X</v>
      </c>
      <c r="O57" s="34"/>
      <c r="P57" s="34"/>
      <c r="Q57" s="34"/>
      <c r="R57" s="34"/>
      <c r="S57" s="34"/>
      <c r="T57" s="34"/>
      <c r="U57" s="34"/>
      <c r="V57" s="34"/>
    </row>
    <row r="58" spans="1:22">
      <c r="A58" s="35" t="s">
        <v>380</v>
      </c>
      <c r="B58" s="3" t="s">
        <v>381</v>
      </c>
      <c r="C58" s="35" t="s">
        <v>84</v>
      </c>
      <c r="D58" s="34" t="s">
        <v>382</v>
      </c>
      <c r="E58" s="34"/>
      <c r="F58" s="35"/>
      <c r="G58" s="35"/>
      <c r="H58" s="3"/>
      <c r="I58" s="35"/>
      <c r="J58" s="35" t="str">
        <f>IF(OR(TRIM(E58)="", TRIM(H58)=""), "", IFERROR(IF(OR(VLOOKUP(E58&amp;"|"&amp;H58&amp;"", DB!$A:$N, 6, FALSE)="", VLOOKUP(E58&amp;"|"&amp;H58&amp;"", DB!$A:$N, 6, FALSE)="-"), "", VLOOKUP(E58&amp;"|"&amp;H58&amp;"", DB!$A:$N, 6, FALSE)), ""))</f>
        <v/>
      </c>
      <c r="K58" s="35"/>
      <c r="L58" s="35"/>
      <c r="M58" s="35"/>
      <c r="N58" s="35" t="str">
        <f>IF(TRIM(D58)="", "", IF(N(L58)-N(M58)&lt;=0, "X", N(L58)-N(M58)))</f>
        <v>X</v>
      </c>
      <c r="O58" s="34"/>
      <c r="P58" s="34"/>
      <c r="Q58" s="34"/>
      <c r="R58" s="34"/>
      <c r="S58" s="34"/>
      <c r="T58" s="34"/>
      <c r="U58" s="34"/>
      <c r="V58" s="34"/>
    </row>
    <row r="59" spans="1:22">
      <c r="A59" s="35" t="s">
        <v>386</v>
      </c>
      <c r="B59" s="3" t="s">
        <v>40</v>
      </c>
      <c r="C59" s="35" t="s">
        <v>35</v>
      </c>
      <c r="D59" s="34" t="str">
        <f>IF(OR(E59="", H59=""), V59, IFERROR(IF(VLOOKUP(E59&amp;"|"&amp;H59&amp;"", DB!$A:$N, 4, FALSE)="", V59, VLOOKUP(E59&amp;"|"&amp;H59&amp;"", DB!$A:$N, 4, FALSE)), V59))</f>
        <v>Anti-MMP2 antibody [EPR1184] - recombinant (ab92536)</v>
      </c>
      <c r="E59" s="34" t="s">
        <v>387</v>
      </c>
      <c r="F59" s="35" t="s">
        <v>388</v>
      </c>
      <c r="G59" s="35" t="str">
        <f>IF(OR(E59="", H59=""), "", IFERROR(VLOOKUP(E59&amp;"|"&amp;H59&amp;"", DB!$A:$N, 5, FALSE), ""))</f>
        <v>N/A</v>
      </c>
      <c r="H59" s="3" t="s">
        <v>389</v>
      </c>
      <c r="I59" s="35"/>
      <c r="J59" s="35" t="str">
        <f>IFERROR(IF(OR(VLOOKUP(E59&amp;"|"&amp;H59&amp;"", DB!$A:$N, 6, FALSE)="", VLOOKUP(E59&amp;"|"&amp;H59&amp;"", DB!$A:$N, 6, FALSE)="-"), "", VLOOKUP(E59&amp;"|"&amp;H59&amp;"", DB!$A:$N, 6, FALSE)), "")</f>
        <v>F</v>
      </c>
      <c r="K59" s="35"/>
      <c r="L59" s="35">
        <v>1</v>
      </c>
      <c r="M59" s="35"/>
      <c r="N59" s="35">
        <f>IF(TRIM(D59)="", "", IF(N(L59)-N(M59)&lt;=0, "X", N(L59)-N(M59)))</f>
        <v>1</v>
      </c>
      <c r="O59" s="34"/>
      <c r="P59" s="34" t="str">
        <f>IF(OR(E59="", H59=""), "", IFERROR(IF(VLOOKUP(E59&amp;"|"&amp;H59&amp;"", DB!$A:$N, 7, FALSE)="","-",VLOOKUP(E59&amp;"|"&amp;H59&amp;"", DB!$A:$N, 7, FALSE)), "-"))</f>
        <v>-</v>
      </c>
      <c r="Q59" s="34" t="str">
        <f>IF(OR(E59="", H59=""), "", IFERROR(IF(VLOOKUP(E59&amp;"|"&amp;H59&amp;"", DB!$A:$N, 8, FALSE)="","-",VLOOKUP(E59&amp;"|"&amp;H59&amp;"", DB!$A:$N, 8, FALSE)), "-"))</f>
        <v>-</v>
      </c>
      <c r="R59" s="34" t="str">
        <f>IF(OR(E59="", H59=""), "", IFERROR(IF(VLOOKUP(E59&amp;"|"&amp;H59&amp;"", DB!$A:$N, 9, FALSE)="","-",VLOOKUP(E59&amp;"|"&amp;H59&amp;"", DB!$A:$N, 9, FALSE)), "-"))</f>
        <v>-</v>
      </c>
      <c r="S59" s="34" t="str">
        <f>IF(OR(E59="", H59=""), "", IFERROR(IF(VLOOKUP(E59&amp;"|"&amp;H59&amp;"", DB!$A:$N, 10, FALSE)="","-",VLOOKUP(E59&amp;"|"&amp;H59&amp;"", DB!$A:$N, 10, FALSE)), "-"))</f>
        <v>-</v>
      </c>
      <c r="T59" s="34" t="str">
        <f>IF(OR(E59="", H59=""), "", IFERROR(IF(VLOOKUP(E59&amp;"|"&amp;H59&amp;"", DB!$A:$N, 11, FALSE)="","-",VLOOKUP(E59&amp;"|"&amp;H59&amp;"", DB!$A:$N, 11, FALSE)), "-"))</f>
        <v>https://www.abcam.com/en-us/products/primary-antibodies/mmp2-antibody-epr1184-ab92536</v>
      </c>
      <c r="U59" s="34" t="str">
        <f>IF(OR(E59="", H59=""), "", IFERROR(IF(VLOOKUP(E59&amp;"|"&amp;H59&amp;"", DB!$A:$N, 12, FALSE)="","-",VLOOKUP(E59&amp;"|"&amp;H59&amp;"", DB!$A:$N, 12, FALSE)), "-"))</f>
        <v>-</v>
      </c>
      <c r="V59" s="34" t="s">
        <v>390</v>
      </c>
    </row>
    <row r="60" spans="1:22">
      <c r="A60" s="35"/>
      <c r="B60" s="3"/>
      <c r="C60" s="35"/>
      <c r="D60" s="34"/>
      <c r="E60" s="34"/>
      <c r="F60" s="35"/>
      <c r="G60" s="35"/>
      <c r="H60" s="3"/>
      <c r="I60" s="35"/>
      <c r="J60" s="35" t="str">
        <f>IF(OR(TRIM(E60)="", TRIM(H60)=""), "", IFERROR(IF(OR(VLOOKUP(E60&amp;"|"&amp;H60&amp;"", DB!$A:$N, 6, FALSE)="", VLOOKUP(E60&amp;"|"&amp;H60&amp;"", DB!$A:$N, 6, FALSE)="-"), "", VLOOKUP(E60&amp;"|"&amp;H60&amp;"", DB!$A:$N, 6, FALSE)), ""))</f>
        <v/>
      </c>
      <c r="K60" s="35"/>
      <c r="L60" s="35"/>
      <c r="M60" s="35"/>
      <c r="N60" s="35" t="str">
        <f t="shared" si="0"/>
        <v/>
      </c>
      <c r="O60" s="34"/>
      <c r="P60" s="34"/>
      <c r="Q60" s="34"/>
      <c r="R60" s="34"/>
      <c r="S60" s="34"/>
      <c r="T60" s="34"/>
      <c r="U60" s="34"/>
      <c r="V60" s="34"/>
    </row>
    <row r="61" spans="1:22">
      <c r="A61" s="35"/>
      <c r="B61" s="3"/>
      <c r="C61" s="35"/>
      <c r="D61" s="34"/>
      <c r="E61" s="34"/>
      <c r="F61" s="35"/>
      <c r="G61" s="35"/>
      <c r="H61" s="3"/>
      <c r="I61" s="35"/>
      <c r="J61" s="35" t="str">
        <f>IF(OR(TRIM(E61)="", TRIM(H61)=""), "", IFERROR(IF(OR(VLOOKUP(E61&amp;"|"&amp;H61&amp;"", DB!$A:$N, 6, FALSE)="", VLOOKUP(E61&amp;"|"&amp;H61&amp;"", DB!$A:$N, 6, FALSE)="-"), "", VLOOKUP(E61&amp;"|"&amp;H61&amp;"", DB!$A:$N, 6, FALSE)), ""))</f>
        <v/>
      </c>
      <c r="K61" s="35"/>
      <c r="L61" s="35"/>
      <c r="M61" s="35"/>
      <c r="N61" s="35" t="str">
        <f t="shared" si="0"/>
        <v/>
      </c>
      <c r="O61" s="34"/>
      <c r="P61" s="34"/>
      <c r="Q61" s="34"/>
      <c r="R61" s="34"/>
      <c r="S61" s="34"/>
      <c r="T61" s="34"/>
      <c r="U61" s="34"/>
      <c r="V61" s="34"/>
    </row>
    <row r="62" spans="1:22">
      <c r="A62" s="35"/>
      <c r="B62" s="3"/>
      <c r="C62" s="35"/>
      <c r="D62" s="34"/>
      <c r="E62" s="34"/>
      <c r="F62" s="35"/>
      <c r="G62" s="35"/>
      <c r="H62" s="3"/>
      <c r="I62" s="35"/>
      <c r="J62" s="35" t="str">
        <f>IF(OR(TRIM(E62)="", TRIM(H62)=""), "", IFERROR(IF(OR(VLOOKUP(E62&amp;"|"&amp;H62&amp;"", DB!$A:$N, 6, FALSE)="", VLOOKUP(E62&amp;"|"&amp;H62&amp;"", DB!$A:$N, 6, FALSE)="-"), "", VLOOKUP(E62&amp;"|"&amp;H62&amp;"", DB!$A:$N, 6, FALSE)), ""))</f>
        <v/>
      </c>
      <c r="K62" s="35"/>
      <c r="L62" s="35"/>
      <c r="M62" s="35"/>
      <c r="N62" s="35" t="str">
        <f t="shared" si="0"/>
        <v/>
      </c>
      <c r="O62" s="34"/>
      <c r="P62" s="34"/>
      <c r="Q62" s="34"/>
      <c r="R62" s="34"/>
      <c r="S62" s="34"/>
      <c r="T62" s="34"/>
      <c r="U62" s="34"/>
      <c r="V62" s="34"/>
    </row>
    <row r="63" spans="1:22">
      <c r="A63" s="35"/>
      <c r="B63" s="3"/>
      <c r="C63" s="35"/>
      <c r="D63" s="34"/>
      <c r="E63" s="34"/>
      <c r="F63" s="35"/>
      <c r="G63" s="35"/>
      <c r="H63" s="3"/>
      <c r="I63" s="35"/>
      <c r="J63" s="35" t="str">
        <f>IF(OR(TRIM(E63)="", TRIM(H63)=""), "", IFERROR(IF(OR(VLOOKUP(E63&amp;"|"&amp;H63&amp;"", DB!$A:$N, 6, FALSE)="", VLOOKUP(E63&amp;"|"&amp;H63&amp;"", DB!$A:$N, 6, FALSE)="-"), "", VLOOKUP(E63&amp;"|"&amp;H63&amp;"", DB!$A:$N, 6, FALSE)), ""))</f>
        <v/>
      </c>
      <c r="K63" s="35"/>
      <c r="L63" s="35"/>
      <c r="M63" s="35"/>
      <c r="N63" s="35" t="str">
        <f t="shared" si="0"/>
        <v/>
      </c>
      <c r="O63" s="34"/>
      <c r="P63" s="34"/>
      <c r="Q63" s="34"/>
      <c r="R63" s="34"/>
      <c r="S63" s="34"/>
      <c r="T63" s="34"/>
      <c r="U63" s="34"/>
      <c r="V63" s="34"/>
    </row>
    <row r="64" spans="1:22">
      <c r="A64" s="35"/>
      <c r="B64" s="3"/>
      <c r="C64" s="35"/>
      <c r="D64" s="34"/>
      <c r="E64" s="34"/>
      <c r="F64" s="35"/>
      <c r="G64" s="35"/>
      <c r="H64" s="3"/>
      <c r="I64" s="35"/>
      <c r="J64" s="35" t="str">
        <f>IF(OR(TRIM(E64)="", TRIM(H64)=""), "", IFERROR(IF(OR(VLOOKUP(E64&amp;"|"&amp;H64&amp;"", DB!$A:$N, 6, FALSE)="", VLOOKUP(E64&amp;"|"&amp;H64&amp;"", DB!$A:$N, 6, FALSE)="-"), "", VLOOKUP(E64&amp;"|"&amp;H64&amp;"", DB!$A:$N, 6, FALSE)), ""))</f>
        <v/>
      </c>
      <c r="K64" s="35"/>
      <c r="L64" s="35"/>
      <c r="M64" s="35"/>
      <c r="N64" s="35" t="str">
        <f t="shared" si="0"/>
        <v/>
      </c>
      <c r="O64" s="34"/>
      <c r="P64" s="34"/>
      <c r="Q64" s="34"/>
      <c r="R64" s="34"/>
      <c r="S64" s="34"/>
      <c r="T64" s="34"/>
      <c r="U64" s="34"/>
      <c r="V64" s="34"/>
    </row>
    <row r="65" spans="1:22">
      <c r="A65" s="35"/>
      <c r="B65" s="3"/>
      <c r="C65" s="35"/>
      <c r="D65" s="34"/>
      <c r="E65" s="34"/>
      <c r="F65" s="35"/>
      <c r="G65" s="35"/>
      <c r="H65" s="3"/>
      <c r="I65" s="35"/>
      <c r="J65" s="35" t="str">
        <f>IF(OR(TRIM(E65)="", TRIM(H65)=""), "", IFERROR(IF(OR(VLOOKUP(E65&amp;"|"&amp;H65&amp;"", DB!$A:$N, 6, FALSE)="", VLOOKUP(E65&amp;"|"&amp;H65&amp;"", DB!$A:$N, 6, FALSE)="-"), "", VLOOKUP(E65&amp;"|"&amp;H65&amp;"", DB!$A:$N, 6, FALSE)), ""))</f>
        <v/>
      </c>
      <c r="K65" s="35"/>
      <c r="L65" s="35"/>
      <c r="M65" s="35"/>
      <c r="N65" s="35" t="str">
        <f t="shared" si="0"/>
        <v/>
      </c>
      <c r="O65" s="34"/>
      <c r="P65" s="34"/>
      <c r="Q65" s="34"/>
      <c r="R65" s="34"/>
      <c r="S65" s="34"/>
      <c r="T65" s="34"/>
      <c r="U65" s="34"/>
      <c r="V65" s="34"/>
    </row>
    <row r="66" spans="1:22">
      <c r="A66" s="35"/>
      <c r="B66" s="3"/>
      <c r="C66" s="35"/>
      <c r="D66" s="34"/>
      <c r="E66" s="34"/>
      <c r="F66" s="35"/>
      <c r="G66" s="35"/>
      <c r="H66" s="3"/>
      <c r="I66" s="35"/>
      <c r="J66" s="35" t="str">
        <f>IF(OR(TRIM(E66)="", TRIM(H66)=""), "", IFERROR(IF(OR(VLOOKUP(E66&amp;"|"&amp;H66&amp;"", DB!$A:$N, 6, FALSE)="", VLOOKUP(E66&amp;"|"&amp;H66&amp;"", DB!$A:$N, 6, FALSE)="-"), "", VLOOKUP(E66&amp;"|"&amp;H66&amp;"", DB!$A:$N, 6, FALSE)), ""))</f>
        <v/>
      </c>
      <c r="K66" s="35"/>
      <c r="L66" s="35"/>
      <c r="M66" s="35"/>
      <c r="N66" s="35" t="str">
        <f t="shared" ref="N66:N129" si="1">IF(TRIM(D66)="", "", IF(N(L66)-N(M66)&lt;=0, "X", N(L66)-N(M66)))</f>
        <v/>
      </c>
      <c r="O66" s="34"/>
      <c r="P66" s="34"/>
      <c r="Q66" s="34"/>
      <c r="R66" s="34"/>
      <c r="S66" s="34"/>
      <c r="T66" s="34"/>
      <c r="U66" s="34"/>
      <c r="V66" s="34"/>
    </row>
    <row r="67" spans="1:22">
      <c r="A67" s="35"/>
      <c r="B67" s="3"/>
      <c r="C67" s="35"/>
      <c r="D67" s="34"/>
      <c r="E67" s="34"/>
      <c r="F67" s="35"/>
      <c r="G67" s="35"/>
      <c r="H67" s="3"/>
      <c r="I67" s="35"/>
      <c r="J67" s="35" t="str">
        <f>IF(OR(TRIM(E67)="", TRIM(H67)=""), "", IFERROR(IF(OR(VLOOKUP(E67&amp;"|"&amp;H67&amp;"", DB!$A:$N, 6, FALSE)="", VLOOKUP(E67&amp;"|"&amp;H67&amp;"", DB!$A:$N, 6, FALSE)="-"), "", VLOOKUP(E67&amp;"|"&amp;H67&amp;"", DB!$A:$N, 6, FALSE)), ""))</f>
        <v/>
      </c>
      <c r="K67" s="35"/>
      <c r="L67" s="35"/>
      <c r="M67" s="35"/>
      <c r="N67" s="35" t="str">
        <f t="shared" si="1"/>
        <v/>
      </c>
      <c r="O67" s="34"/>
      <c r="P67" s="34"/>
      <c r="Q67" s="34"/>
      <c r="R67" s="34"/>
      <c r="S67" s="34"/>
      <c r="T67" s="34"/>
      <c r="U67" s="34"/>
      <c r="V67" s="34"/>
    </row>
    <row r="68" spans="1:22">
      <c r="A68" s="35"/>
      <c r="B68" s="3"/>
      <c r="C68" s="35"/>
      <c r="D68" s="34"/>
      <c r="E68" s="34"/>
      <c r="F68" s="35"/>
      <c r="G68" s="35"/>
      <c r="H68" s="3"/>
      <c r="I68" s="35"/>
      <c r="J68" s="35" t="str">
        <f>IF(OR(TRIM(E68)="", TRIM(H68)=""), "", IFERROR(IF(OR(VLOOKUP(E68&amp;"|"&amp;H68&amp;"", DB!$A:$N, 6, FALSE)="", VLOOKUP(E68&amp;"|"&amp;H68&amp;"", DB!$A:$N, 6, FALSE)="-"), "", VLOOKUP(E68&amp;"|"&amp;H68&amp;"", DB!$A:$N, 6, FALSE)), ""))</f>
        <v/>
      </c>
      <c r="K68" s="35"/>
      <c r="L68" s="35"/>
      <c r="M68" s="35"/>
      <c r="N68" s="35" t="str">
        <f t="shared" si="1"/>
        <v/>
      </c>
      <c r="O68" s="34"/>
      <c r="P68" s="34"/>
      <c r="Q68" s="34"/>
      <c r="R68" s="34"/>
      <c r="S68" s="34"/>
      <c r="T68" s="34"/>
      <c r="U68" s="34"/>
      <c r="V68" s="34"/>
    </row>
    <row r="69" spans="1:22">
      <c r="A69" s="35"/>
      <c r="B69" s="3"/>
      <c r="C69" s="35"/>
      <c r="D69" s="34"/>
      <c r="E69" s="34"/>
      <c r="F69" s="35"/>
      <c r="G69" s="35"/>
      <c r="H69" s="3"/>
      <c r="I69" s="35"/>
      <c r="J69" s="35" t="str">
        <f>IF(OR(TRIM(E69)="", TRIM(H69)=""), "", IFERROR(IF(OR(VLOOKUP(E69&amp;"|"&amp;H69&amp;"", DB!$A:$N, 6, FALSE)="", VLOOKUP(E69&amp;"|"&amp;H69&amp;"", DB!$A:$N, 6, FALSE)="-"), "", VLOOKUP(E69&amp;"|"&amp;H69&amp;"", DB!$A:$N, 6, FALSE)), ""))</f>
        <v/>
      </c>
      <c r="K69" s="35"/>
      <c r="L69" s="35"/>
      <c r="M69" s="35"/>
      <c r="N69" s="35" t="str">
        <f t="shared" si="1"/>
        <v/>
      </c>
      <c r="O69" s="34"/>
      <c r="P69" s="34"/>
      <c r="Q69" s="34"/>
      <c r="R69" s="34"/>
      <c r="S69" s="34"/>
      <c r="T69" s="34"/>
      <c r="U69" s="34"/>
      <c r="V69" s="34"/>
    </row>
    <row r="70" spans="1:22">
      <c r="A70" s="35"/>
      <c r="B70" s="3"/>
      <c r="C70" s="35"/>
      <c r="D70" s="34"/>
      <c r="E70" s="34"/>
      <c r="F70" s="35"/>
      <c r="G70" s="35"/>
      <c r="H70" s="3"/>
      <c r="I70" s="35"/>
      <c r="J70" s="35" t="str">
        <f>IF(OR(TRIM(E70)="", TRIM(H70)=""), "", IFERROR(IF(OR(VLOOKUP(E70&amp;"|"&amp;H70&amp;"", DB!$A:$N, 6, FALSE)="", VLOOKUP(E70&amp;"|"&amp;H70&amp;"", DB!$A:$N, 6, FALSE)="-"), "", VLOOKUP(E70&amp;"|"&amp;H70&amp;"", DB!$A:$N, 6, FALSE)), ""))</f>
        <v/>
      </c>
      <c r="K70" s="35"/>
      <c r="L70" s="35"/>
      <c r="M70" s="35"/>
      <c r="N70" s="35" t="str">
        <f t="shared" si="1"/>
        <v/>
      </c>
      <c r="O70" s="34"/>
      <c r="P70" s="34"/>
      <c r="Q70" s="34"/>
      <c r="R70" s="34"/>
      <c r="S70" s="34"/>
      <c r="T70" s="34"/>
      <c r="U70" s="34"/>
      <c r="V70" s="34"/>
    </row>
    <row r="71" spans="1:22">
      <c r="A71" s="35"/>
      <c r="B71" s="3"/>
      <c r="C71" s="35"/>
      <c r="D71" s="34"/>
      <c r="E71" s="34"/>
      <c r="F71" s="35"/>
      <c r="G71" s="35"/>
      <c r="H71" s="3"/>
      <c r="I71" s="35"/>
      <c r="J71" s="35" t="str">
        <f>IF(OR(TRIM(E71)="", TRIM(H71)=""), "", IFERROR(IF(OR(VLOOKUP(E71&amp;"|"&amp;H71&amp;"", DB!$A:$N, 6, FALSE)="", VLOOKUP(E71&amp;"|"&amp;H71&amp;"", DB!$A:$N, 6, FALSE)="-"), "", VLOOKUP(E71&amp;"|"&amp;H71&amp;"", DB!$A:$N, 6, FALSE)), ""))</f>
        <v/>
      </c>
      <c r="K71" s="35"/>
      <c r="L71" s="35"/>
      <c r="M71" s="35"/>
      <c r="N71" s="35" t="str">
        <f t="shared" si="1"/>
        <v/>
      </c>
      <c r="O71" s="34"/>
      <c r="P71" s="34"/>
      <c r="Q71" s="34"/>
      <c r="R71" s="34"/>
      <c r="S71" s="34"/>
      <c r="T71" s="34"/>
      <c r="U71" s="34"/>
      <c r="V71" s="34"/>
    </row>
    <row r="72" spans="1:22">
      <c r="A72" s="35"/>
      <c r="B72" s="3"/>
      <c r="C72" s="35"/>
      <c r="D72" s="34"/>
      <c r="E72" s="34"/>
      <c r="F72" s="35"/>
      <c r="G72" s="35"/>
      <c r="H72" s="3"/>
      <c r="I72" s="35"/>
      <c r="J72" s="35" t="str">
        <f>IF(OR(TRIM(E72)="", TRIM(H72)=""), "", IFERROR(IF(OR(VLOOKUP(E72&amp;"|"&amp;H72&amp;"", DB!$A:$N, 6, FALSE)="", VLOOKUP(E72&amp;"|"&amp;H72&amp;"", DB!$A:$N, 6, FALSE)="-"), "", VLOOKUP(E72&amp;"|"&amp;H72&amp;"", DB!$A:$N, 6, FALSE)), ""))</f>
        <v/>
      </c>
      <c r="K72" s="35"/>
      <c r="L72" s="35"/>
      <c r="M72" s="35"/>
      <c r="N72" s="35" t="str">
        <f t="shared" si="1"/>
        <v/>
      </c>
      <c r="O72" s="34"/>
      <c r="P72" s="34"/>
      <c r="Q72" s="34"/>
      <c r="R72" s="34"/>
      <c r="S72" s="34"/>
      <c r="T72" s="34"/>
      <c r="U72" s="34"/>
      <c r="V72" s="34"/>
    </row>
    <row r="73" spans="1:22">
      <c r="A73" s="35"/>
      <c r="B73" s="3"/>
      <c r="C73" s="35"/>
      <c r="D73" s="34"/>
      <c r="E73" s="34"/>
      <c r="F73" s="35"/>
      <c r="G73" s="35"/>
      <c r="H73" s="3"/>
      <c r="I73" s="35"/>
      <c r="J73" s="35" t="str">
        <f>IF(OR(TRIM(E73)="", TRIM(H73)=""), "", IFERROR(IF(OR(VLOOKUP(E73&amp;"|"&amp;H73&amp;"", DB!$A:$N, 6, FALSE)="", VLOOKUP(E73&amp;"|"&amp;H73&amp;"", DB!$A:$N, 6, FALSE)="-"), "", VLOOKUP(E73&amp;"|"&amp;H73&amp;"", DB!$A:$N, 6, FALSE)), ""))</f>
        <v/>
      </c>
      <c r="K73" s="35"/>
      <c r="L73" s="35"/>
      <c r="M73" s="35"/>
      <c r="N73" s="35" t="str">
        <f t="shared" si="1"/>
        <v/>
      </c>
      <c r="O73" s="34"/>
      <c r="P73" s="34"/>
      <c r="Q73" s="34"/>
      <c r="R73" s="34"/>
      <c r="S73" s="34"/>
      <c r="T73" s="34"/>
      <c r="U73" s="34"/>
      <c r="V73" s="34"/>
    </row>
    <row r="74" spans="1:22">
      <c r="A74" s="35"/>
      <c r="B74" s="3"/>
      <c r="C74" s="35"/>
      <c r="D74" s="34"/>
      <c r="E74" s="34"/>
      <c r="F74" s="35"/>
      <c r="G74" s="35"/>
      <c r="H74" s="3"/>
      <c r="I74" s="35"/>
      <c r="J74" s="35" t="str">
        <f>IF(OR(TRIM(E74)="", TRIM(H74)=""), "", IFERROR(IF(OR(VLOOKUP(E74&amp;"|"&amp;H74&amp;"", DB!$A:$N, 6, FALSE)="", VLOOKUP(E74&amp;"|"&amp;H74&amp;"", DB!$A:$N, 6, FALSE)="-"), "", VLOOKUP(E74&amp;"|"&amp;H74&amp;"", DB!$A:$N, 6, FALSE)), ""))</f>
        <v/>
      </c>
      <c r="K74" s="35"/>
      <c r="L74" s="35"/>
      <c r="M74" s="35"/>
      <c r="N74" s="35" t="str">
        <f t="shared" si="1"/>
        <v/>
      </c>
      <c r="O74" s="34"/>
      <c r="P74" s="34"/>
      <c r="Q74" s="34"/>
      <c r="R74" s="34"/>
      <c r="S74" s="34"/>
      <c r="T74" s="34"/>
      <c r="U74" s="34"/>
      <c r="V74" s="34"/>
    </row>
    <row r="75" spans="1:22">
      <c r="A75" s="35"/>
      <c r="B75" s="3"/>
      <c r="C75" s="35"/>
      <c r="D75" s="34"/>
      <c r="E75" s="34"/>
      <c r="F75" s="35"/>
      <c r="G75" s="35"/>
      <c r="H75" s="3"/>
      <c r="I75" s="35"/>
      <c r="J75" s="35" t="str">
        <f>IF(OR(TRIM(E75)="", TRIM(H75)=""), "", IFERROR(IF(OR(VLOOKUP(E75&amp;"|"&amp;H75&amp;"", DB!$A:$N, 6, FALSE)="", VLOOKUP(E75&amp;"|"&amp;H75&amp;"", DB!$A:$N, 6, FALSE)="-"), "", VLOOKUP(E75&amp;"|"&amp;H75&amp;"", DB!$A:$N, 6, FALSE)), ""))</f>
        <v/>
      </c>
      <c r="K75" s="35"/>
      <c r="L75" s="35"/>
      <c r="M75" s="35"/>
      <c r="N75" s="35" t="str">
        <f t="shared" si="1"/>
        <v/>
      </c>
      <c r="O75" s="34"/>
      <c r="P75" s="34"/>
      <c r="Q75" s="34"/>
      <c r="R75" s="34"/>
      <c r="S75" s="34"/>
      <c r="T75" s="34"/>
      <c r="U75" s="34"/>
      <c r="V75" s="34"/>
    </row>
    <row r="76" spans="1:22">
      <c r="A76" s="35"/>
      <c r="B76" s="3"/>
      <c r="C76" s="35"/>
      <c r="D76" s="34"/>
      <c r="E76" s="34"/>
      <c r="F76" s="35"/>
      <c r="G76" s="35"/>
      <c r="H76" s="3"/>
      <c r="I76" s="35"/>
      <c r="J76" s="35" t="str">
        <f>IF(OR(TRIM(E76)="", TRIM(H76)=""), "", IFERROR(IF(OR(VLOOKUP(E76&amp;"|"&amp;H76&amp;"", DB!$A:$N, 6, FALSE)="", VLOOKUP(E76&amp;"|"&amp;H76&amp;"", DB!$A:$N, 6, FALSE)="-"), "", VLOOKUP(E76&amp;"|"&amp;H76&amp;"", DB!$A:$N, 6, FALSE)), ""))</f>
        <v/>
      </c>
      <c r="K76" s="35"/>
      <c r="L76" s="35"/>
      <c r="M76" s="35"/>
      <c r="N76" s="35" t="str">
        <f t="shared" si="1"/>
        <v/>
      </c>
      <c r="O76" s="34"/>
      <c r="P76" s="34"/>
      <c r="Q76" s="34"/>
      <c r="R76" s="34"/>
      <c r="S76" s="34"/>
      <c r="T76" s="34"/>
      <c r="U76" s="34"/>
      <c r="V76" s="34"/>
    </row>
    <row r="77" spans="1:22">
      <c r="A77" s="35"/>
      <c r="B77" s="3"/>
      <c r="C77" s="35"/>
      <c r="D77" s="34"/>
      <c r="E77" s="34"/>
      <c r="F77" s="35"/>
      <c r="G77" s="35"/>
      <c r="H77" s="3"/>
      <c r="I77" s="35"/>
      <c r="J77" s="35" t="str">
        <f>IF(OR(TRIM(E77)="", TRIM(H77)=""), "", IFERROR(IF(OR(VLOOKUP(E77&amp;"|"&amp;H77&amp;"", DB!$A:$N, 6, FALSE)="", VLOOKUP(E77&amp;"|"&amp;H77&amp;"", DB!$A:$N, 6, FALSE)="-"), "", VLOOKUP(E77&amp;"|"&amp;H77&amp;"", DB!$A:$N, 6, FALSE)), ""))</f>
        <v/>
      </c>
      <c r="K77" s="35"/>
      <c r="L77" s="35"/>
      <c r="M77" s="35"/>
      <c r="N77" s="35" t="str">
        <f t="shared" si="1"/>
        <v/>
      </c>
      <c r="O77" s="34"/>
      <c r="P77" s="34"/>
      <c r="Q77" s="34"/>
      <c r="R77" s="34"/>
      <c r="S77" s="34"/>
      <c r="T77" s="34"/>
      <c r="U77" s="34"/>
      <c r="V77" s="34"/>
    </row>
    <row r="78" spans="1:22">
      <c r="A78" s="35"/>
      <c r="B78" s="3"/>
      <c r="C78" s="35"/>
      <c r="D78" s="34"/>
      <c r="E78" s="34"/>
      <c r="F78" s="35"/>
      <c r="G78" s="35"/>
      <c r="H78" s="3"/>
      <c r="I78" s="35"/>
      <c r="J78" s="35" t="str">
        <f>IF(OR(TRIM(E78)="", TRIM(H78)=""), "", IFERROR(IF(OR(VLOOKUP(E78&amp;"|"&amp;H78&amp;"", DB!$A:$N, 6, FALSE)="", VLOOKUP(E78&amp;"|"&amp;H78&amp;"", DB!$A:$N, 6, FALSE)="-"), "", VLOOKUP(E78&amp;"|"&amp;H78&amp;"", DB!$A:$N, 6, FALSE)), ""))</f>
        <v/>
      </c>
      <c r="K78" s="35"/>
      <c r="L78" s="35"/>
      <c r="M78" s="35"/>
      <c r="N78" s="35" t="str">
        <f t="shared" si="1"/>
        <v/>
      </c>
      <c r="O78" s="34"/>
      <c r="P78" s="34"/>
      <c r="Q78" s="34"/>
      <c r="R78" s="34"/>
      <c r="S78" s="34"/>
      <c r="T78" s="34"/>
      <c r="U78" s="34"/>
      <c r="V78" s="34"/>
    </row>
    <row r="79" spans="1:22">
      <c r="A79" s="35"/>
      <c r="B79" s="3"/>
      <c r="C79" s="35"/>
      <c r="D79" s="34"/>
      <c r="E79" s="34"/>
      <c r="F79" s="35"/>
      <c r="G79" s="35"/>
      <c r="H79" s="3"/>
      <c r="I79" s="35"/>
      <c r="J79" s="35" t="str">
        <f>IF(OR(TRIM(E79)="", TRIM(H79)=""), "", IFERROR(IF(OR(VLOOKUP(E79&amp;"|"&amp;H79&amp;"", DB!$A:$N, 6, FALSE)="", VLOOKUP(E79&amp;"|"&amp;H79&amp;"", DB!$A:$N, 6, FALSE)="-"), "", VLOOKUP(E79&amp;"|"&amp;H79&amp;"", DB!$A:$N, 6, FALSE)), ""))</f>
        <v/>
      </c>
      <c r="K79" s="35"/>
      <c r="L79" s="35"/>
      <c r="M79" s="35"/>
      <c r="N79" s="35" t="str">
        <f t="shared" si="1"/>
        <v/>
      </c>
      <c r="O79" s="34"/>
      <c r="P79" s="34"/>
      <c r="Q79" s="34"/>
      <c r="R79" s="34"/>
      <c r="S79" s="34"/>
      <c r="T79" s="34"/>
      <c r="U79" s="34"/>
      <c r="V79" s="34"/>
    </row>
    <row r="80" spans="1:22">
      <c r="A80" s="35"/>
      <c r="B80" s="3"/>
      <c r="C80" s="35"/>
      <c r="D80" s="34"/>
      <c r="E80" s="34"/>
      <c r="F80" s="35"/>
      <c r="G80" s="35"/>
      <c r="H80" s="3"/>
      <c r="I80" s="35"/>
      <c r="J80" s="35" t="str">
        <f>IF(OR(TRIM(E80)="", TRIM(H80)=""), "", IFERROR(IF(OR(VLOOKUP(E80&amp;"|"&amp;H80&amp;"", DB!$A:$N, 6, FALSE)="", VLOOKUP(E80&amp;"|"&amp;H80&amp;"", DB!$A:$N, 6, FALSE)="-"), "", VLOOKUP(E80&amp;"|"&amp;H80&amp;"", DB!$A:$N, 6, FALSE)), ""))</f>
        <v/>
      </c>
      <c r="K80" s="35"/>
      <c r="L80" s="35"/>
      <c r="M80" s="35"/>
      <c r="N80" s="35" t="str">
        <f t="shared" si="1"/>
        <v/>
      </c>
      <c r="O80" s="34"/>
      <c r="P80" s="34"/>
      <c r="Q80" s="34"/>
      <c r="R80" s="34"/>
      <c r="S80" s="34"/>
      <c r="T80" s="34"/>
      <c r="U80" s="34"/>
      <c r="V80" s="34"/>
    </row>
    <row r="81" spans="1:22">
      <c r="A81" s="35"/>
      <c r="B81" s="3"/>
      <c r="C81" s="35"/>
      <c r="D81" s="34"/>
      <c r="E81" s="34"/>
      <c r="F81" s="35"/>
      <c r="G81" s="35"/>
      <c r="H81" s="3"/>
      <c r="I81" s="35"/>
      <c r="J81" s="35" t="str">
        <f>IF(OR(TRIM(E81)="", TRIM(H81)=""), "", IFERROR(IF(OR(VLOOKUP(E81&amp;"|"&amp;H81&amp;"", DB!$A:$N, 6, FALSE)="", VLOOKUP(E81&amp;"|"&amp;H81&amp;"", DB!$A:$N, 6, FALSE)="-"), "", VLOOKUP(E81&amp;"|"&amp;H81&amp;"", DB!$A:$N, 6, FALSE)), ""))</f>
        <v/>
      </c>
      <c r="K81" s="35"/>
      <c r="L81" s="35"/>
      <c r="M81" s="35"/>
      <c r="N81" s="35" t="str">
        <f t="shared" si="1"/>
        <v/>
      </c>
      <c r="O81" s="34"/>
      <c r="P81" s="34"/>
      <c r="Q81" s="34"/>
      <c r="R81" s="34"/>
      <c r="S81" s="34"/>
      <c r="T81" s="34"/>
      <c r="U81" s="34"/>
      <c r="V81" s="34"/>
    </row>
    <row r="82" spans="1:22">
      <c r="A82" s="35"/>
      <c r="B82" s="3"/>
      <c r="C82" s="35"/>
      <c r="D82" s="34"/>
      <c r="E82" s="34"/>
      <c r="F82" s="35"/>
      <c r="G82" s="35"/>
      <c r="H82" s="3"/>
      <c r="I82" s="35"/>
      <c r="J82" s="35" t="str">
        <f>IF(OR(TRIM(E82)="", TRIM(H82)=""), "", IFERROR(IF(OR(VLOOKUP(E82&amp;"|"&amp;H82&amp;"", DB!$A:$N, 6, FALSE)="", VLOOKUP(E82&amp;"|"&amp;H82&amp;"", DB!$A:$N, 6, FALSE)="-"), "", VLOOKUP(E82&amp;"|"&amp;H82&amp;"", DB!$A:$N, 6, FALSE)), ""))</f>
        <v/>
      </c>
      <c r="K82" s="35"/>
      <c r="L82" s="35"/>
      <c r="M82" s="35"/>
      <c r="N82" s="35" t="str">
        <f t="shared" si="1"/>
        <v/>
      </c>
      <c r="O82" s="34"/>
      <c r="P82" s="34"/>
      <c r="Q82" s="34"/>
      <c r="R82" s="34"/>
      <c r="S82" s="34"/>
      <c r="T82" s="34"/>
      <c r="U82" s="34"/>
      <c r="V82" s="34"/>
    </row>
    <row r="83" spans="1:22">
      <c r="A83" s="35"/>
      <c r="B83" s="3"/>
      <c r="C83" s="35"/>
      <c r="D83" s="34"/>
      <c r="E83" s="34"/>
      <c r="F83" s="35"/>
      <c r="G83" s="35"/>
      <c r="H83" s="3"/>
      <c r="I83" s="35"/>
      <c r="J83" s="35" t="str">
        <f>IF(OR(TRIM(E83)="", TRIM(H83)=""), "", IFERROR(IF(OR(VLOOKUP(E83&amp;"|"&amp;H83&amp;"", DB!$A:$N, 6, FALSE)="", VLOOKUP(E83&amp;"|"&amp;H83&amp;"", DB!$A:$N, 6, FALSE)="-"), "", VLOOKUP(E83&amp;"|"&amp;H83&amp;"", DB!$A:$N, 6, FALSE)), ""))</f>
        <v/>
      </c>
      <c r="K83" s="35"/>
      <c r="L83" s="35"/>
      <c r="M83" s="35"/>
      <c r="N83" s="35" t="str">
        <f t="shared" si="1"/>
        <v/>
      </c>
      <c r="O83" s="34"/>
      <c r="P83" s="34"/>
      <c r="Q83" s="34"/>
      <c r="R83" s="34"/>
      <c r="S83" s="34"/>
      <c r="T83" s="34"/>
      <c r="U83" s="34"/>
      <c r="V83" s="34"/>
    </row>
    <row r="84" spans="1:22">
      <c r="A84" s="35"/>
      <c r="B84" s="3"/>
      <c r="C84" s="35"/>
      <c r="D84" s="34"/>
      <c r="E84" s="34"/>
      <c r="F84" s="35"/>
      <c r="G84" s="35"/>
      <c r="H84" s="3"/>
      <c r="I84" s="35"/>
      <c r="J84" s="35" t="str">
        <f>IF(OR(TRIM(E84)="", TRIM(H84)=""), "", IFERROR(IF(OR(VLOOKUP(E84&amp;"|"&amp;H84&amp;"", DB!$A:$N, 6, FALSE)="", VLOOKUP(E84&amp;"|"&amp;H84&amp;"", DB!$A:$N, 6, FALSE)="-"), "", VLOOKUP(E84&amp;"|"&amp;H84&amp;"", DB!$A:$N, 6, FALSE)), ""))</f>
        <v/>
      </c>
      <c r="K84" s="35"/>
      <c r="L84" s="35"/>
      <c r="M84" s="35"/>
      <c r="N84" s="35" t="str">
        <f t="shared" si="1"/>
        <v/>
      </c>
      <c r="O84" s="34"/>
      <c r="P84" s="34"/>
      <c r="Q84" s="34"/>
      <c r="R84" s="34"/>
      <c r="S84" s="34"/>
      <c r="T84" s="34"/>
      <c r="U84" s="34"/>
      <c r="V84" s="34"/>
    </row>
    <row r="85" spans="1:22">
      <c r="A85" s="35"/>
      <c r="B85" s="3"/>
      <c r="C85" s="35"/>
      <c r="D85" s="34"/>
      <c r="E85" s="34"/>
      <c r="F85" s="35"/>
      <c r="G85" s="35"/>
      <c r="H85" s="3"/>
      <c r="I85" s="35"/>
      <c r="J85" s="35" t="str">
        <f>IF(OR(TRIM(E85)="", TRIM(H85)=""), "", IFERROR(IF(OR(VLOOKUP(E85&amp;"|"&amp;H85&amp;"", DB!$A:$N, 6, FALSE)="", VLOOKUP(E85&amp;"|"&amp;H85&amp;"", DB!$A:$N, 6, FALSE)="-"), "", VLOOKUP(E85&amp;"|"&amp;H85&amp;"", DB!$A:$N, 6, FALSE)), ""))</f>
        <v/>
      </c>
      <c r="K85" s="35"/>
      <c r="L85" s="35"/>
      <c r="M85" s="35"/>
      <c r="N85" s="35" t="str">
        <f t="shared" si="1"/>
        <v/>
      </c>
      <c r="O85" s="34"/>
      <c r="P85" s="34"/>
      <c r="Q85" s="34"/>
      <c r="R85" s="34"/>
      <c r="S85" s="34"/>
      <c r="T85" s="34"/>
      <c r="U85" s="34"/>
      <c r="V85" s="34"/>
    </row>
    <row r="86" spans="1:22">
      <c r="A86" s="35"/>
      <c r="B86" s="3"/>
      <c r="C86" s="35"/>
      <c r="D86" s="34"/>
      <c r="E86" s="34"/>
      <c r="F86" s="35"/>
      <c r="G86" s="35"/>
      <c r="H86" s="3"/>
      <c r="I86" s="35"/>
      <c r="J86" s="35" t="str">
        <f>IF(OR(TRIM(E86)="", TRIM(H86)=""), "", IFERROR(IF(OR(VLOOKUP(E86&amp;"|"&amp;H86&amp;"", DB!$A:$N, 6, FALSE)="", VLOOKUP(E86&amp;"|"&amp;H86&amp;"", DB!$A:$N, 6, FALSE)="-"), "", VLOOKUP(E86&amp;"|"&amp;H86&amp;"", DB!$A:$N, 6, FALSE)), ""))</f>
        <v/>
      </c>
      <c r="K86" s="35"/>
      <c r="L86" s="35"/>
      <c r="M86" s="35"/>
      <c r="N86" s="35" t="str">
        <f t="shared" si="1"/>
        <v/>
      </c>
      <c r="O86" s="34"/>
      <c r="P86" s="34"/>
      <c r="Q86" s="34"/>
      <c r="R86" s="34"/>
      <c r="S86" s="34"/>
      <c r="T86" s="34"/>
      <c r="U86" s="34"/>
      <c r="V86" s="34"/>
    </row>
    <row r="87" spans="1:22">
      <c r="A87" s="35"/>
      <c r="B87" s="3"/>
      <c r="C87" s="35"/>
      <c r="D87" s="34"/>
      <c r="E87" s="34"/>
      <c r="F87" s="35"/>
      <c r="G87" s="35"/>
      <c r="H87" s="3"/>
      <c r="I87" s="35"/>
      <c r="J87" s="35" t="str">
        <f>IF(OR(TRIM(E87)="", TRIM(H87)=""), "", IFERROR(IF(OR(VLOOKUP(E87&amp;"|"&amp;H87&amp;"", DB!$A:$N, 6, FALSE)="", VLOOKUP(E87&amp;"|"&amp;H87&amp;"", DB!$A:$N, 6, FALSE)="-"), "", VLOOKUP(E87&amp;"|"&amp;H87&amp;"", DB!$A:$N, 6, FALSE)), ""))</f>
        <v/>
      </c>
      <c r="K87" s="35"/>
      <c r="L87" s="35"/>
      <c r="M87" s="35"/>
      <c r="N87" s="35" t="str">
        <f t="shared" si="1"/>
        <v/>
      </c>
      <c r="O87" s="34"/>
      <c r="P87" s="34"/>
      <c r="Q87" s="34"/>
      <c r="R87" s="34"/>
      <c r="S87" s="34"/>
      <c r="T87" s="34"/>
      <c r="U87" s="34"/>
      <c r="V87" s="34"/>
    </row>
    <row r="88" spans="1:22">
      <c r="A88" s="35"/>
      <c r="B88" s="3"/>
      <c r="C88" s="35"/>
      <c r="D88" s="34"/>
      <c r="E88" s="34"/>
      <c r="F88" s="35"/>
      <c r="G88" s="35"/>
      <c r="H88" s="3"/>
      <c r="I88" s="35"/>
      <c r="J88" s="35" t="str">
        <f>IF(OR(TRIM(E88)="", TRIM(H88)=""), "", IFERROR(IF(OR(VLOOKUP(E88&amp;"|"&amp;H88&amp;"", DB!$A:$N, 6, FALSE)="", VLOOKUP(E88&amp;"|"&amp;H88&amp;"", DB!$A:$N, 6, FALSE)="-"), "", VLOOKUP(E88&amp;"|"&amp;H88&amp;"", DB!$A:$N, 6, FALSE)), ""))</f>
        <v/>
      </c>
      <c r="K88" s="35"/>
      <c r="L88" s="35"/>
      <c r="M88" s="35"/>
      <c r="N88" s="35" t="str">
        <f t="shared" si="1"/>
        <v/>
      </c>
      <c r="O88" s="34"/>
      <c r="P88" s="34"/>
      <c r="Q88" s="34"/>
      <c r="R88" s="34"/>
      <c r="S88" s="34"/>
      <c r="T88" s="34"/>
      <c r="U88" s="34"/>
      <c r="V88" s="34"/>
    </row>
    <row r="89" spans="1:22">
      <c r="A89" s="35"/>
      <c r="B89" s="3"/>
      <c r="C89" s="35"/>
      <c r="D89" s="34"/>
      <c r="E89" s="34"/>
      <c r="F89" s="35"/>
      <c r="G89" s="35"/>
      <c r="H89" s="3"/>
      <c r="I89" s="35"/>
      <c r="J89" s="35" t="str">
        <f>IF(OR(TRIM(E89)="", TRIM(H89)=""), "", IFERROR(IF(OR(VLOOKUP(E89&amp;"|"&amp;H89&amp;"", DB!$A:$N, 6, FALSE)="", VLOOKUP(E89&amp;"|"&amp;H89&amp;"", DB!$A:$N, 6, FALSE)="-"), "", VLOOKUP(E89&amp;"|"&amp;H89&amp;"", DB!$A:$N, 6, FALSE)), ""))</f>
        <v/>
      </c>
      <c r="K89" s="35"/>
      <c r="L89" s="35"/>
      <c r="M89" s="35"/>
      <c r="N89" s="35" t="str">
        <f t="shared" si="1"/>
        <v/>
      </c>
      <c r="O89" s="34"/>
      <c r="P89" s="34"/>
      <c r="Q89" s="34"/>
      <c r="R89" s="34"/>
      <c r="S89" s="34"/>
      <c r="T89" s="34"/>
      <c r="U89" s="34"/>
      <c r="V89" s="34"/>
    </row>
    <row r="90" spans="1:22">
      <c r="A90" s="35"/>
      <c r="B90" s="3"/>
      <c r="C90" s="35"/>
      <c r="D90" s="34"/>
      <c r="E90" s="34"/>
      <c r="F90" s="35"/>
      <c r="G90" s="35"/>
      <c r="H90" s="3"/>
      <c r="I90" s="35"/>
      <c r="J90" s="35" t="str">
        <f>IF(OR(TRIM(E90)="", TRIM(H90)=""), "", IFERROR(IF(OR(VLOOKUP(E90&amp;"|"&amp;H90&amp;"", DB!$A:$N, 6, FALSE)="", VLOOKUP(E90&amp;"|"&amp;H90&amp;"", DB!$A:$N, 6, FALSE)="-"), "", VLOOKUP(E90&amp;"|"&amp;H90&amp;"", DB!$A:$N, 6, FALSE)), ""))</f>
        <v/>
      </c>
      <c r="K90" s="35"/>
      <c r="L90" s="35"/>
      <c r="M90" s="35"/>
      <c r="N90" s="35" t="str">
        <f t="shared" si="1"/>
        <v/>
      </c>
      <c r="O90" s="34"/>
      <c r="P90" s="34"/>
      <c r="Q90" s="34"/>
      <c r="R90" s="34"/>
      <c r="S90" s="34"/>
      <c r="T90" s="34"/>
      <c r="U90" s="34"/>
      <c r="V90" s="34"/>
    </row>
    <row r="91" spans="1:22">
      <c r="A91" s="35"/>
      <c r="B91" s="3"/>
      <c r="C91" s="35"/>
      <c r="D91" s="34"/>
      <c r="E91" s="34"/>
      <c r="F91" s="35"/>
      <c r="G91" s="35"/>
      <c r="H91" s="3"/>
      <c r="I91" s="35"/>
      <c r="J91" s="35" t="str">
        <f>IF(OR(TRIM(E91)="", TRIM(H91)=""), "", IFERROR(IF(OR(VLOOKUP(E91&amp;"|"&amp;H91&amp;"", DB!$A:$N, 6, FALSE)="", VLOOKUP(E91&amp;"|"&amp;H91&amp;"", DB!$A:$N, 6, FALSE)="-"), "", VLOOKUP(E91&amp;"|"&amp;H91&amp;"", DB!$A:$N, 6, FALSE)), ""))</f>
        <v/>
      </c>
      <c r="K91" s="35"/>
      <c r="L91" s="35"/>
      <c r="M91" s="35"/>
      <c r="N91" s="35" t="str">
        <f t="shared" si="1"/>
        <v/>
      </c>
      <c r="O91" s="34"/>
      <c r="P91" s="34"/>
      <c r="Q91" s="34"/>
      <c r="R91" s="34"/>
      <c r="S91" s="34"/>
      <c r="T91" s="34"/>
      <c r="U91" s="34"/>
      <c r="V91" s="34"/>
    </row>
    <row r="92" spans="1:22">
      <c r="A92" s="35"/>
      <c r="B92" s="3"/>
      <c r="C92" s="35"/>
      <c r="D92" s="34"/>
      <c r="E92" s="34"/>
      <c r="F92" s="35"/>
      <c r="G92" s="35"/>
      <c r="H92" s="3"/>
      <c r="I92" s="35"/>
      <c r="J92" s="35" t="str">
        <f>IF(OR(TRIM(E92)="", TRIM(H92)=""), "", IFERROR(IF(OR(VLOOKUP(E92&amp;"|"&amp;H92&amp;"", DB!$A:$N, 6, FALSE)="", VLOOKUP(E92&amp;"|"&amp;H92&amp;"", DB!$A:$N, 6, FALSE)="-"), "", VLOOKUP(E92&amp;"|"&amp;H92&amp;"", DB!$A:$N, 6, FALSE)), ""))</f>
        <v/>
      </c>
      <c r="K92" s="35"/>
      <c r="L92" s="35"/>
      <c r="M92" s="35"/>
      <c r="N92" s="35" t="str">
        <f t="shared" si="1"/>
        <v/>
      </c>
      <c r="O92" s="34"/>
      <c r="P92" s="34"/>
      <c r="Q92" s="34"/>
      <c r="R92" s="34"/>
      <c r="S92" s="34"/>
      <c r="T92" s="34"/>
      <c r="U92" s="34"/>
      <c r="V92" s="34"/>
    </row>
    <row r="93" spans="1:22">
      <c r="A93" s="35"/>
      <c r="B93" s="3"/>
      <c r="C93" s="35"/>
      <c r="D93" s="34"/>
      <c r="E93" s="34"/>
      <c r="F93" s="35"/>
      <c r="G93" s="35"/>
      <c r="H93" s="3"/>
      <c r="I93" s="35"/>
      <c r="J93" s="35" t="str">
        <f>IF(OR(TRIM(E93)="", TRIM(H93)=""), "", IFERROR(IF(OR(VLOOKUP(E93&amp;"|"&amp;H93&amp;"", DB!$A:$N, 6, FALSE)="", VLOOKUP(E93&amp;"|"&amp;H93&amp;"", DB!$A:$N, 6, FALSE)="-"), "", VLOOKUP(E93&amp;"|"&amp;H93&amp;"", DB!$A:$N, 6, FALSE)), ""))</f>
        <v/>
      </c>
      <c r="K93" s="35"/>
      <c r="L93" s="35"/>
      <c r="M93" s="35"/>
      <c r="N93" s="35" t="str">
        <f t="shared" si="1"/>
        <v/>
      </c>
      <c r="O93" s="34"/>
      <c r="P93" s="34"/>
      <c r="Q93" s="34"/>
      <c r="R93" s="34"/>
      <c r="S93" s="34"/>
      <c r="T93" s="34"/>
      <c r="U93" s="34"/>
      <c r="V93" s="34"/>
    </row>
    <row r="94" spans="1:22">
      <c r="A94" s="35"/>
      <c r="B94" s="3"/>
      <c r="C94" s="35"/>
      <c r="D94" s="34"/>
      <c r="E94" s="34"/>
      <c r="F94" s="35"/>
      <c r="G94" s="35"/>
      <c r="H94" s="3"/>
      <c r="I94" s="35"/>
      <c r="J94" s="35" t="str">
        <f>IF(OR(TRIM(E94)="", TRIM(H94)=""), "", IFERROR(IF(OR(VLOOKUP(E94&amp;"|"&amp;H94&amp;"", DB!$A:$N, 6, FALSE)="", VLOOKUP(E94&amp;"|"&amp;H94&amp;"", DB!$A:$N, 6, FALSE)="-"), "", VLOOKUP(E94&amp;"|"&amp;H94&amp;"", DB!$A:$N, 6, FALSE)), ""))</f>
        <v/>
      </c>
      <c r="K94" s="35"/>
      <c r="L94" s="35"/>
      <c r="M94" s="35"/>
      <c r="N94" s="35" t="str">
        <f t="shared" si="1"/>
        <v/>
      </c>
      <c r="O94" s="34"/>
      <c r="P94" s="34"/>
      <c r="Q94" s="34"/>
      <c r="R94" s="34"/>
      <c r="S94" s="34"/>
      <c r="T94" s="34"/>
      <c r="U94" s="34"/>
      <c r="V94" s="34"/>
    </row>
    <row r="95" spans="1:22">
      <c r="A95" s="35"/>
      <c r="B95" s="3"/>
      <c r="C95" s="35"/>
      <c r="D95" s="34"/>
      <c r="E95" s="34"/>
      <c r="F95" s="35"/>
      <c r="G95" s="35"/>
      <c r="H95" s="3"/>
      <c r="I95" s="35"/>
      <c r="J95" s="35" t="str">
        <f>IF(OR(TRIM(E95)="", TRIM(H95)=""), "", IFERROR(IF(OR(VLOOKUP(E95&amp;"|"&amp;H95&amp;"", DB!$A:$N, 6, FALSE)="", VLOOKUP(E95&amp;"|"&amp;H95&amp;"", DB!$A:$N, 6, FALSE)="-"), "", VLOOKUP(E95&amp;"|"&amp;H95&amp;"", DB!$A:$N, 6, FALSE)), ""))</f>
        <v/>
      </c>
      <c r="K95" s="35"/>
      <c r="L95" s="35"/>
      <c r="M95" s="35"/>
      <c r="N95" s="35" t="str">
        <f t="shared" si="1"/>
        <v/>
      </c>
      <c r="O95" s="34"/>
      <c r="P95" s="34"/>
      <c r="Q95" s="34"/>
      <c r="R95" s="34"/>
      <c r="S95" s="34"/>
      <c r="T95" s="34"/>
      <c r="U95" s="34"/>
      <c r="V95" s="34"/>
    </row>
    <row r="96" spans="1:22">
      <c r="A96" s="35"/>
      <c r="B96" s="3"/>
      <c r="C96" s="35"/>
      <c r="D96" s="34"/>
      <c r="E96" s="34"/>
      <c r="F96" s="35"/>
      <c r="G96" s="35"/>
      <c r="H96" s="3"/>
      <c r="I96" s="35"/>
      <c r="J96" s="35" t="str">
        <f>IF(OR(TRIM(E96)="", TRIM(H96)=""), "", IFERROR(IF(OR(VLOOKUP(E96&amp;"|"&amp;H96&amp;"", DB!$A:$N, 6, FALSE)="", VLOOKUP(E96&amp;"|"&amp;H96&amp;"", DB!$A:$N, 6, FALSE)="-"), "", VLOOKUP(E96&amp;"|"&amp;H96&amp;"", DB!$A:$N, 6, FALSE)), ""))</f>
        <v/>
      </c>
      <c r="K96" s="35"/>
      <c r="L96" s="35"/>
      <c r="M96" s="35"/>
      <c r="N96" s="35" t="str">
        <f t="shared" si="1"/>
        <v/>
      </c>
      <c r="O96" s="34"/>
      <c r="P96" s="34"/>
      <c r="Q96" s="34"/>
      <c r="R96" s="34"/>
      <c r="S96" s="34"/>
      <c r="T96" s="34"/>
      <c r="U96" s="34"/>
      <c r="V96" s="34"/>
    </row>
    <row r="97" spans="1:22">
      <c r="A97" s="35"/>
      <c r="B97" s="3"/>
      <c r="C97" s="35"/>
      <c r="D97" s="34"/>
      <c r="E97" s="34"/>
      <c r="F97" s="35"/>
      <c r="G97" s="35"/>
      <c r="H97" s="3"/>
      <c r="I97" s="35"/>
      <c r="J97" s="35" t="str">
        <f>IF(OR(TRIM(E97)="", TRIM(H97)=""), "", IFERROR(IF(OR(VLOOKUP(E97&amp;"|"&amp;H97&amp;"", DB!$A:$N, 6, FALSE)="", VLOOKUP(E97&amp;"|"&amp;H97&amp;"", DB!$A:$N, 6, FALSE)="-"), "", VLOOKUP(E97&amp;"|"&amp;H97&amp;"", DB!$A:$N, 6, FALSE)), ""))</f>
        <v/>
      </c>
      <c r="K97" s="35"/>
      <c r="L97" s="35"/>
      <c r="M97" s="35"/>
      <c r="N97" s="35" t="str">
        <f t="shared" si="1"/>
        <v/>
      </c>
      <c r="O97" s="34"/>
      <c r="P97" s="34"/>
      <c r="Q97" s="34"/>
      <c r="R97" s="34"/>
      <c r="S97" s="34"/>
      <c r="T97" s="34"/>
      <c r="U97" s="34"/>
      <c r="V97" s="34"/>
    </row>
    <row r="98" spans="1:22">
      <c r="A98" s="35"/>
      <c r="B98" s="3"/>
      <c r="C98" s="35"/>
      <c r="D98" s="34"/>
      <c r="E98" s="34"/>
      <c r="F98" s="35"/>
      <c r="G98" s="35"/>
      <c r="H98" s="3"/>
      <c r="I98" s="35"/>
      <c r="J98" s="35" t="str">
        <f>IF(OR(TRIM(E98)="", TRIM(H98)=""), "", IFERROR(IF(OR(VLOOKUP(E98&amp;"|"&amp;H98&amp;"", DB!$A:$N, 6, FALSE)="", VLOOKUP(E98&amp;"|"&amp;H98&amp;"", DB!$A:$N, 6, FALSE)="-"), "", VLOOKUP(E98&amp;"|"&amp;H98&amp;"", DB!$A:$N, 6, FALSE)), ""))</f>
        <v/>
      </c>
      <c r="K98" s="35"/>
      <c r="L98" s="35"/>
      <c r="M98" s="35"/>
      <c r="N98" s="35" t="str">
        <f t="shared" si="1"/>
        <v/>
      </c>
      <c r="O98" s="34"/>
      <c r="P98" s="34"/>
      <c r="Q98" s="34"/>
      <c r="R98" s="34"/>
      <c r="S98" s="34"/>
      <c r="T98" s="34"/>
      <c r="U98" s="34"/>
      <c r="V98" s="34"/>
    </row>
    <row r="99" spans="1:22">
      <c r="A99" s="35"/>
      <c r="B99" s="3"/>
      <c r="C99" s="35"/>
      <c r="D99" s="34"/>
      <c r="E99" s="34"/>
      <c r="F99" s="35"/>
      <c r="G99" s="35"/>
      <c r="H99" s="3"/>
      <c r="I99" s="35"/>
      <c r="J99" s="35" t="str">
        <f>IF(OR(TRIM(E99)="", TRIM(H99)=""), "", IFERROR(IF(OR(VLOOKUP(E99&amp;"|"&amp;H99&amp;"", DB!$A:$N, 6, FALSE)="", VLOOKUP(E99&amp;"|"&amp;H99&amp;"", DB!$A:$N, 6, FALSE)="-"), "", VLOOKUP(E99&amp;"|"&amp;H99&amp;"", DB!$A:$N, 6, FALSE)), ""))</f>
        <v/>
      </c>
      <c r="K99" s="35"/>
      <c r="L99" s="35"/>
      <c r="M99" s="35"/>
      <c r="N99" s="35" t="str">
        <f t="shared" si="1"/>
        <v/>
      </c>
      <c r="O99" s="34"/>
      <c r="P99" s="34"/>
      <c r="Q99" s="34"/>
      <c r="R99" s="34"/>
      <c r="S99" s="34"/>
      <c r="T99" s="34"/>
      <c r="U99" s="34"/>
      <c r="V99" s="34"/>
    </row>
    <row r="100" spans="1:22">
      <c r="A100" s="35"/>
      <c r="B100" s="3"/>
      <c r="C100" s="35"/>
      <c r="D100" s="34"/>
      <c r="E100" s="34"/>
      <c r="F100" s="35"/>
      <c r="G100" s="35"/>
      <c r="H100" s="3"/>
      <c r="I100" s="35"/>
      <c r="J100" s="35" t="str">
        <f>IF(OR(TRIM(E100)="", TRIM(H100)=""), "", IFERROR(IF(OR(VLOOKUP(E100&amp;"|"&amp;H100&amp;"", DB!$A:$N, 6, FALSE)="", VLOOKUP(E100&amp;"|"&amp;H100&amp;"", DB!$A:$N, 6, FALSE)="-"), "", VLOOKUP(E100&amp;"|"&amp;H100&amp;"", DB!$A:$N, 6, FALSE)), ""))</f>
        <v/>
      </c>
      <c r="K100" s="35"/>
      <c r="L100" s="35"/>
      <c r="M100" s="35"/>
      <c r="N100" s="35" t="str">
        <f t="shared" si="1"/>
        <v/>
      </c>
      <c r="O100" s="34"/>
      <c r="P100" s="34"/>
      <c r="Q100" s="34"/>
      <c r="R100" s="34"/>
      <c r="S100" s="34"/>
      <c r="T100" s="34"/>
      <c r="U100" s="34"/>
      <c r="V100" s="34"/>
    </row>
    <row r="101" spans="1:22">
      <c r="A101" s="35"/>
      <c r="B101" s="3"/>
      <c r="C101" s="35"/>
      <c r="D101" s="34"/>
      <c r="E101" s="34"/>
      <c r="F101" s="35"/>
      <c r="G101" s="35"/>
      <c r="H101" s="3"/>
      <c r="I101" s="35"/>
      <c r="J101" s="35" t="str">
        <f>IF(OR(TRIM(E101)="", TRIM(H101)=""), "", IFERROR(IF(OR(VLOOKUP(E101&amp;"|"&amp;H101&amp;"", DB!$A:$N, 6, FALSE)="", VLOOKUP(E101&amp;"|"&amp;H101&amp;"", DB!$A:$N, 6, FALSE)="-"), "", VLOOKUP(E101&amp;"|"&amp;H101&amp;"", DB!$A:$N, 6, FALSE)), ""))</f>
        <v/>
      </c>
      <c r="K101" s="35"/>
      <c r="L101" s="35"/>
      <c r="M101" s="35"/>
      <c r="N101" s="35" t="str">
        <f t="shared" si="1"/>
        <v/>
      </c>
      <c r="O101" s="34"/>
      <c r="P101" s="34"/>
      <c r="Q101" s="34"/>
      <c r="R101" s="34"/>
      <c r="S101" s="34"/>
      <c r="T101" s="34"/>
      <c r="U101" s="34"/>
      <c r="V101" s="34"/>
    </row>
    <row r="102" spans="1:22">
      <c r="A102" s="35"/>
      <c r="B102" s="3"/>
      <c r="C102" s="35"/>
      <c r="D102" s="34"/>
      <c r="E102" s="34"/>
      <c r="F102" s="35"/>
      <c r="G102" s="35"/>
      <c r="H102" s="3"/>
      <c r="I102" s="35"/>
      <c r="J102" s="35" t="str">
        <f>IF(OR(TRIM(E102)="", TRIM(H102)=""), "", IFERROR(IF(OR(VLOOKUP(E102&amp;"|"&amp;H102&amp;"", DB!$A:$N, 6, FALSE)="", VLOOKUP(E102&amp;"|"&amp;H102&amp;"", DB!$A:$N, 6, FALSE)="-"), "", VLOOKUP(E102&amp;"|"&amp;H102&amp;"", DB!$A:$N, 6, FALSE)), ""))</f>
        <v/>
      </c>
      <c r="K102" s="35"/>
      <c r="L102" s="35"/>
      <c r="M102" s="35"/>
      <c r="N102" s="35" t="str">
        <f t="shared" si="1"/>
        <v/>
      </c>
      <c r="O102" s="34"/>
      <c r="P102" s="34"/>
      <c r="Q102" s="34"/>
      <c r="R102" s="34"/>
      <c r="S102" s="34"/>
      <c r="T102" s="34"/>
      <c r="U102" s="34"/>
      <c r="V102" s="34"/>
    </row>
    <row r="103" spans="1:22">
      <c r="A103" s="35"/>
      <c r="B103" s="3"/>
      <c r="C103" s="35"/>
      <c r="D103" s="34"/>
      <c r="E103" s="34"/>
      <c r="F103" s="35"/>
      <c r="G103" s="35"/>
      <c r="H103" s="3"/>
      <c r="I103" s="35"/>
      <c r="J103" s="35" t="str">
        <f>IF(OR(TRIM(E103)="", TRIM(H103)=""), "", IFERROR(IF(OR(VLOOKUP(E103&amp;"|"&amp;H103&amp;"", DB!$A:$N, 6, FALSE)="", VLOOKUP(E103&amp;"|"&amp;H103&amp;"", DB!$A:$N, 6, FALSE)="-"), "", VLOOKUP(E103&amp;"|"&amp;H103&amp;"", DB!$A:$N, 6, FALSE)), ""))</f>
        <v/>
      </c>
      <c r="K103" s="35"/>
      <c r="L103" s="35"/>
      <c r="M103" s="35"/>
      <c r="N103" s="35" t="str">
        <f t="shared" si="1"/>
        <v/>
      </c>
      <c r="O103" s="34"/>
      <c r="P103" s="34"/>
      <c r="Q103" s="34"/>
      <c r="R103" s="34"/>
      <c r="S103" s="34"/>
      <c r="T103" s="34"/>
      <c r="U103" s="34"/>
      <c r="V103" s="34"/>
    </row>
    <row r="104" spans="1:22">
      <c r="A104" s="35"/>
      <c r="B104" s="3"/>
      <c r="C104" s="35"/>
      <c r="D104" s="34"/>
      <c r="E104" s="34"/>
      <c r="F104" s="35"/>
      <c r="G104" s="35"/>
      <c r="H104" s="3"/>
      <c r="I104" s="35"/>
      <c r="J104" s="35" t="str">
        <f>IF(OR(TRIM(E104)="", TRIM(H104)=""), "", IFERROR(IF(OR(VLOOKUP(E104&amp;"|"&amp;H104&amp;"", DB!$A:$N, 6, FALSE)="", VLOOKUP(E104&amp;"|"&amp;H104&amp;"", DB!$A:$N, 6, FALSE)="-"), "", VLOOKUP(E104&amp;"|"&amp;H104&amp;"", DB!$A:$N, 6, FALSE)), ""))</f>
        <v/>
      </c>
      <c r="K104" s="35"/>
      <c r="L104" s="35"/>
      <c r="M104" s="35"/>
      <c r="N104" s="35" t="str">
        <f t="shared" si="1"/>
        <v/>
      </c>
      <c r="O104" s="34"/>
      <c r="P104" s="34"/>
      <c r="Q104" s="34"/>
      <c r="R104" s="34"/>
      <c r="S104" s="34"/>
      <c r="T104" s="34"/>
      <c r="U104" s="34"/>
      <c r="V104" s="34"/>
    </row>
    <row r="105" spans="1:22">
      <c r="A105" s="35"/>
      <c r="B105" s="3"/>
      <c r="C105" s="35"/>
      <c r="D105" s="34"/>
      <c r="E105" s="34"/>
      <c r="F105" s="35"/>
      <c r="G105" s="35"/>
      <c r="H105" s="3"/>
      <c r="I105" s="35"/>
      <c r="J105" s="35" t="str">
        <f>IF(OR(TRIM(E105)="", TRIM(H105)=""), "", IFERROR(IF(OR(VLOOKUP(E105&amp;"|"&amp;H105&amp;"", DB!$A:$N, 6, FALSE)="", VLOOKUP(E105&amp;"|"&amp;H105&amp;"", DB!$A:$N, 6, FALSE)="-"), "", VLOOKUP(E105&amp;"|"&amp;H105&amp;"", DB!$A:$N, 6, FALSE)), ""))</f>
        <v/>
      </c>
      <c r="K105" s="35"/>
      <c r="L105" s="35"/>
      <c r="M105" s="35"/>
      <c r="N105" s="35" t="str">
        <f t="shared" si="1"/>
        <v/>
      </c>
      <c r="O105" s="34"/>
      <c r="P105" s="34"/>
      <c r="Q105" s="34"/>
      <c r="R105" s="34"/>
      <c r="S105" s="34"/>
      <c r="T105" s="34"/>
      <c r="U105" s="34"/>
      <c r="V105" s="34"/>
    </row>
    <row r="106" spans="1:22">
      <c r="A106" s="35"/>
      <c r="B106" s="3"/>
      <c r="C106" s="35"/>
      <c r="D106" s="34"/>
      <c r="E106" s="34"/>
      <c r="F106" s="35"/>
      <c r="G106" s="35"/>
      <c r="H106" s="3"/>
      <c r="I106" s="35"/>
      <c r="J106" s="35" t="str">
        <f>IF(OR(TRIM(E106)="", TRIM(H106)=""), "", IFERROR(IF(OR(VLOOKUP(E106&amp;"|"&amp;H106&amp;"", DB!$A:$N, 6, FALSE)="", VLOOKUP(E106&amp;"|"&amp;H106&amp;"", DB!$A:$N, 6, FALSE)="-"), "", VLOOKUP(E106&amp;"|"&amp;H106&amp;"", DB!$A:$N, 6, FALSE)), ""))</f>
        <v/>
      </c>
      <c r="K106" s="35"/>
      <c r="L106" s="35"/>
      <c r="M106" s="35"/>
      <c r="N106" s="35" t="str">
        <f t="shared" si="1"/>
        <v/>
      </c>
      <c r="O106" s="34"/>
      <c r="P106" s="34"/>
      <c r="Q106" s="34"/>
      <c r="R106" s="34"/>
      <c r="S106" s="34"/>
      <c r="T106" s="34"/>
      <c r="U106" s="34"/>
      <c r="V106" s="34"/>
    </row>
    <row r="107" spans="1:22">
      <c r="A107" s="35"/>
      <c r="B107" s="3"/>
      <c r="C107" s="35"/>
      <c r="D107" s="34"/>
      <c r="E107" s="34"/>
      <c r="F107" s="35"/>
      <c r="G107" s="35"/>
      <c r="H107" s="3"/>
      <c r="I107" s="35"/>
      <c r="J107" s="35" t="str">
        <f>IF(OR(TRIM(E107)="", TRIM(H107)=""), "", IFERROR(IF(OR(VLOOKUP(E107&amp;"|"&amp;H107&amp;"", DB!$A:$N, 6, FALSE)="", VLOOKUP(E107&amp;"|"&amp;H107&amp;"", DB!$A:$N, 6, FALSE)="-"), "", VLOOKUP(E107&amp;"|"&amp;H107&amp;"", DB!$A:$N, 6, FALSE)), ""))</f>
        <v/>
      </c>
      <c r="K107" s="35"/>
      <c r="L107" s="35"/>
      <c r="M107" s="35"/>
      <c r="N107" s="35" t="str">
        <f t="shared" si="1"/>
        <v/>
      </c>
      <c r="O107" s="34"/>
      <c r="P107" s="34"/>
      <c r="Q107" s="34"/>
      <c r="R107" s="34"/>
      <c r="S107" s="34"/>
      <c r="T107" s="34"/>
      <c r="U107" s="34"/>
      <c r="V107" s="34"/>
    </row>
    <row r="108" spans="1:22">
      <c r="A108" s="35"/>
      <c r="B108" s="3"/>
      <c r="C108" s="35"/>
      <c r="D108" s="34"/>
      <c r="E108" s="34"/>
      <c r="F108" s="35"/>
      <c r="G108" s="35"/>
      <c r="H108" s="3"/>
      <c r="I108" s="35"/>
      <c r="J108" s="35" t="str">
        <f>IF(OR(TRIM(E108)="", TRIM(H108)=""), "", IFERROR(IF(OR(VLOOKUP(E108&amp;"|"&amp;H108&amp;"", DB!$A:$N, 6, FALSE)="", VLOOKUP(E108&amp;"|"&amp;H108&amp;"", DB!$A:$N, 6, FALSE)="-"), "", VLOOKUP(E108&amp;"|"&amp;H108&amp;"", DB!$A:$N, 6, FALSE)), ""))</f>
        <v/>
      </c>
      <c r="K108" s="35"/>
      <c r="L108" s="35"/>
      <c r="M108" s="35"/>
      <c r="N108" s="35" t="str">
        <f t="shared" si="1"/>
        <v/>
      </c>
      <c r="O108" s="34"/>
      <c r="P108" s="34"/>
      <c r="Q108" s="34"/>
      <c r="R108" s="34"/>
      <c r="S108" s="34"/>
      <c r="T108" s="34"/>
      <c r="U108" s="34"/>
      <c r="V108" s="34"/>
    </row>
    <row r="109" spans="1:22">
      <c r="A109" s="35"/>
      <c r="B109" s="3"/>
      <c r="C109" s="35"/>
      <c r="D109" s="34"/>
      <c r="E109" s="34"/>
      <c r="F109" s="35"/>
      <c r="G109" s="35"/>
      <c r="H109" s="3"/>
      <c r="I109" s="35"/>
      <c r="J109" s="35" t="str">
        <f>IF(OR(TRIM(E109)="", TRIM(H109)=""), "", IFERROR(IF(OR(VLOOKUP(E109&amp;"|"&amp;H109&amp;"", DB!$A:$N, 6, FALSE)="", VLOOKUP(E109&amp;"|"&amp;H109&amp;"", DB!$A:$N, 6, FALSE)="-"), "", VLOOKUP(E109&amp;"|"&amp;H109&amp;"", DB!$A:$N, 6, FALSE)), ""))</f>
        <v/>
      </c>
      <c r="K109" s="35"/>
      <c r="L109" s="35"/>
      <c r="M109" s="35"/>
      <c r="N109" s="35" t="str">
        <f t="shared" si="1"/>
        <v/>
      </c>
      <c r="O109" s="34"/>
      <c r="P109" s="34"/>
      <c r="Q109" s="34"/>
      <c r="R109" s="34"/>
      <c r="S109" s="34"/>
      <c r="T109" s="34"/>
      <c r="U109" s="34"/>
      <c r="V109" s="34"/>
    </row>
    <row r="110" spans="1:22">
      <c r="A110" s="35"/>
      <c r="B110" s="3"/>
      <c r="C110" s="35"/>
      <c r="D110" s="34"/>
      <c r="E110" s="34"/>
      <c r="F110" s="35"/>
      <c r="G110" s="35"/>
      <c r="H110" s="3"/>
      <c r="I110" s="35"/>
      <c r="J110" s="35" t="str">
        <f>IF(OR(TRIM(E110)="", TRIM(H110)=""), "", IFERROR(IF(OR(VLOOKUP(E110&amp;"|"&amp;H110&amp;"", DB!$A:$N, 6, FALSE)="", VLOOKUP(E110&amp;"|"&amp;H110&amp;"", DB!$A:$N, 6, FALSE)="-"), "", VLOOKUP(E110&amp;"|"&amp;H110&amp;"", DB!$A:$N, 6, FALSE)), ""))</f>
        <v/>
      </c>
      <c r="K110" s="35"/>
      <c r="L110" s="35"/>
      <c r="M110" s="35"/>
      <c r="N110" s="35" t="str">
        <f t="shared" si="1"/>
        <v/>
      </c>
      <c r="O110" s="34"/>
      <c r="P110" s="34"/>
      <c r="Q110" s="34"/>
      <c r="R110" s="34"/>
      <c r="S110" s="34"/>
      <c r="T110" s="34"/>
      <c r="U110" s="34"/>
      <c r="V110" s="34"/>
    </row>
    <row r="111" spans="1:22">
      <c r="A111" s="35"/>
      <c r="B111" s="3"/>
      <c r="C111" s="35"/>
      <c r="D111" s="34"/>
      <c r="E111" s="34"/>
      <c r="F111" s="35"/>
      <c r="G111" s="35"/>
      <c r="H111" s="3"/>
      <c r="I111" s="35"/>
      <c r="J111" s="35" t="str">
        <f>IF(OR(TRIM(E111)="", TRIM(H111)=""), "", IFERROR(IF(OR(VLOOKUP(E111&amp;"|"&amp;H111&amp;"", DB!$A:$N, 6, FALSE)="", VLOOKUP(E111&amp;"|"&amp;H111&amp;"", DB!$A:$N, 6, FALSE)="-"), "", VLOOKUP(E111&amp;"|"&amp;H111&amp;"", DB!$A:$N, 6, FALSE)), ""))</f>
        <v/>
      </c>
      <c r="K111" s="35"/>
      <c r="L111" s="35"/>
      <c r="M111" s="35"/>
      <c r="N111" s="35" t="str">
        <f t="shared" si="1"/>
        <v/>
      </c>
      <c r="O111" s="34"/>
      <c r="P111" s="34"/>
      <c r="Q111" s="34"/>
      <c r="R111" s="34"/>
      <c r="S111" s="34"/>
      <c r="T111" s="34"/>
      <c r="U111" s="34"/>
      <c r="V111" s="34"/>
    </row>
    <row r="112" spans="1:22">
      <c r="A112" s="35"/>
      <c r="B112" s="3"/>
      <c r="C112" s="35"/>
      <c r="D112" s="34"/>
      <c r="E112" s="34"/>
      <c r="F112" s="35"/>
      <c r="G112" s="35"/>
      <c r="H112" s="3"/>
      <c r="I112" s="35"/>
      <c r="J112" s="35" t="str">
        <f>IF(OR(TRIM(E112)="", TRIM(H112)=""), "", IFERROR(IF(OR(VLOOKUP(E112&amp;"|"&amp;H112&amp;"", DB!$A:$N, 6, FALSE)="", VLOOKUP(E112&amp;"|"&amp;H112&amp;"", DB!$A:$N, 6, FALSE)="-"), "", VLOOKUP(E112&amp;"|"&amp;H112&amp;"", DB!$A:$N, 6, FALSE)), ""))</f>
        <v/>
      </c>
      <c r="K112" s="35"/>
      <c r="L112" s="35"/>
      <c r="M112" s="35"/>
      <c r="N112" s="35" t="str">
        <f t="shared" si="1"/>
        <v/>
      </c>
      <c r="O112" s="34"/>
      <c r="P112" s="34"/>
      <c r="Q112" s="34"/>
      <c r="R112" s="34"/>
      <c r="S112" s="34"/>
      <c r="T112" s="34"/>
      <c r="U112" s="34"/>
      <c r="V112" s="34"/>
    </row>
    <row r="113" spans="1:22">
      <c r="A113" s="35"/>
      <c r="B113" s="3"/>
      <c r="C113" s="35"/>
      <c r="D113" s="34"/>
      <c r="E113" s="34"/>
      <c r="F113" s="35"/>
      <c r="G113" s="35"/>
      <c r="H113" s="3"/>
      <c r="I113" s="35"/>
      <c r="J113" s="35" t="str">
        <f>IF(OR(TRIM(E113)="", TRIM(H113)=""), "", IFERROR(IF(OR(VLOOKUP(E113&amp;"|"&amp;H113&amp;"", DB!$A:$N, 6, FALSE)="", VLOOKUP(E113&amp;"|"&amp;H113&amp;"", DB!$A:$N, 6, FALSE)="-"), "", VLOOKUP(E113&amp;"|"&amp;H113&amp;"", DB!$A:$N, 6, FALSE)), ""))</f>
        <v/>
      </c>
      <c r="K113" s="35"/>
      <c r="L113" s="35"/>
      <c r="M113" s="35"/>
      <c r="N113" s="35" t="str">
        <f t="shared" si="1"/>
        <v/>
      </c>
      <c r="O113" s="34"/>
      <c r="P113" s="34"/>
      <c r="Q113" s="34"/>
      <c r="R113" s="34"/>
      <c r="S113" s="34"/>
      <c r="T113" s="34"/>
      <c r="U113" s="34"/>
      <c r="V113" s="34"/>
    </row>
    <row r="114" spans="1:22">
      <c r="A114" s="35"/>
      <c r="B114" s="3"/>
      <c r="C114" s="35"/>
      <c r="D114" s="34"/>
      <c r="E114" s="34"/>
      <c r="F114" s="35"/>
      <c r="G114" s="35"/>
      <c r="H114" s="3"/>
      <c r="I114" s="35"/>
      <c r="J114" s="35" t="str">
        <f>IF(OR(TRIM(E114)="", TRIM(H114)=""), "", IFERROR(IF(OR(VLOOKUP(E114&amp;"|"&amp;H114&amp;"", DB!$A:$N, 6, FALSE)="", VLOOKUP(E114&amp;"|"&amp;H114&amp;"", DB!$A:$N, 6, FALSE)="-"), "", VLOOKUP(E114&amp;"|"&amp;H114&amp;"", DB!$A:$N, 6, FALSE)), ""))</f>
        <v/>
      </c>
      <c r="K114" s="35"/>
      <c r="L114" s="35"/>
      <c r="M114" s="35"/>
      <c r="N114" s="35" t="str">
        <f t="shared" si="1"/>
        <v/>
      </c>
      <c r="O114" s="34"/>
      <c r="P114" s="34"/>
      <c r="Q114" s="34"/>
      <c r="R114" s="34"/>
      <c r="S114" s="34"/>
      <c r="T114" s="34"/>
      <c r="U114" s="34"/>
      <c r="V114" s="34"/>
    </row>
    <row r="115" spans="1:22">
      <c r="A115" s="35"/>
      <c r="B115" s="3"/>
      <c r="C115" s="35"/>
      <c r="D115" s="34"/>
      <c r="E115" s="34"/>
      <c r="F115" s="35"/>
      <c r="G115" s="35"/>
      <c r="H115" s="3"/>
      <c r="I115" s="35"/>
      <c r="J115" s="35" t="str">
        <f>IF(OR(TRIM(E115)="", TRIM(H115)=""), "", IFERROR(IF(OR(VLOOKUP(E115&amp;"|"&amp;H115&amp;"", DB!$A:$N, 6, FALSE)="", VLOOKUP(E115&amp;"|"&amp;H115&amp;"", DB!$A:$N, 6, FALSE)="-"), "", VLOOKUP(E115&amp;"|"&amp;H115&amp;"", DB!$A:$N, 6, FALSE)), ""))</f>
        <v/>
      </c>
      <c r="K115" s="35"/>
      <c r="L115" s="35"/>
      <c r="M115" s="35"/>
      <c r="N115" s="35" t="str">
        <f t="shared" si="1"/>
        <v/>
      </c>
      <c r="O115" s="34"/>
      <c r="P115" s="34"/>
      <c r="Q115" s="34"/>
      <c r="R115" s="34"/>
      <c r="S115" s="34"/>
      <c r="T115" s="34"/>
      <c r="U115" s="34"/>
      <c r="V115" s="34"/>
    </row>
    <row r="116" spans="1:22">
      <c r="A116" s="35"/>
      <c r="B116" s="3"/>
      <c r="C116" s="35"/>
      <c r="D116" s="34"/>
      <c r="E116" s="34"/>
      <c r="F116" s="35"/>
      <c r="G116" s="35"/>
      <c r="H116" s="3"/>
      <c r="I116" s="35"/>
      <c r="J116" s="35" t="str">
        <f>IF(OR(TRIM(E116)="", TRIM(H116)=""), "", IFERROR(IF(OR(VLOOKUP(E116&amp;"|"&amp;H116&amp;"", DB!$A:$N, 6, FALSE)="", VLOOKUP(E116&amp;"|"&amp;H116&amp;"", DB!$A:$N, 6, FALSE)="-"), "", VLOOKUP(E116&amp;"|"&amp;H116&amp;"", DB!$A:$N, 6, FALSE)), ""))</f>
        <v/>
      </c>
      <c r="K116" s="35"/>
      <c r="L116" s="35"/>
      <c r="M116" s="35"/>
      <c r="N116" s="35" t="str">
        <f t="shared" si="1"/>
        <v/>
      </c>
      <c r="O116" s="34"/>
      <c r="P116" s="34"/>
      <c r="Q116" s="34"/>
      <c r="R116" s="34"/>
      <c r="S116" s="34"/>
      <c r="T116" s="34"/>
      <c r="U116" s="34"/>
      <c r="V116" s="34"/>
    </row>
    <row r="117" spans="1:22">
      <c r="A117" s="35"/>
      <c r="B117" s="3"/>
      <c r="C117" s="35"/>
      <c r="D117" s="34"/>
      <c r="E117" s="34"/>
      <c r="F117" s="35"/>
      <c r="G117" s="35"/>
      <c r="H117" s="3"/>
      <c r="I117" s="35"/>
      <c r="J117" s="35" t="str">
        <f>IF(OR(TRIM(E117)="", TRIM(H117)=""), "", IFERROR(IF(OR(VLOOKUP(E117&amp;"|"&amp;H117&amp;"", DB!$A:$N, 6, FALSE)="", VLOOKUP(E117&amp;"|"&amp;H117&amp;"", DB!$A:$N, 6, FALSE)="-"), "", VLOOKUP(E117&amp;"|"&amp;H117&amp;"", DB!$A:$N, 6, FALSE)), ""))</f>
        <v/>
      </c>
      <c r="K117" s="35"/>
      <c r="L117" s="35"/>
      <c r="M117" s="35"/>
      <c r="N117" s="35" t="str">
        <f t="shared" si="1"/>
        <v/>
      </c>
      <c r="O117" s="34"/>
      <c r="P117" s="34"/>
      <c r="Q117" s="34"/>
      <c r="R117" s="34"/>
      <c r="S117" s="34"/>
      <c r="T117" s="34"/>
      <c r="U117" s="34"/>
      <c r="V117" s="34"/>
    </row>
    <row r="118" spans="1:22">
      <c r="A118" s="35"/>
      <c r="B118" s="3"/>
      <c r="C118" s="35"/>
      <c r="D118" s="34"/>
      <c r="E118" s="34"/>
      <c r="F118" s="35"/>
      <c r="G118" s="35"/>
      <c r="H118" s="3"/>
      <c r="I118" s="35"/>
      <c r="J118" s="35" t="str">
        <f>IF(OR(TRIM(E118)="", TRIM(H118)=""), "", IFERROR(IF(OR(VLOOKUP(E118&amp;"|"&amp;H118&amp;"", DB!$A:$N, 6, FALSE)="", VLOOKUP(E118&amp;"|"&amp;H118&amp;"", DB!$A:$N, 6, FALSE)="-"), "", VLOOKUP(E118&amp;"|"&amp;H118&amp;"", DB!$A:$N, 6, FALSE)), ""))</f>
        <v/>
      </c>
      <c r="K118" s="35"/>
      <c r="L118" s="35"/>
      <c r="M118" s="35"/>
      <c r="N118" s="35" t="str">
        <f t="shared" si="1"/>
        <v/>
      </c>
      <c r="O118" s="34"/>
      <c r="P118" s="34"/>
      <c r="Q118" s="34"/>
      <c r="R118" s="34"/>
      <c r="S118" s="34"/>
      <c r="T118" s="34"/>
      <c r="U118" s="34"/>
      <c r="V118" s="34"/>
    </row>
    <row r="119" spans="1:22">
      <c r="A119" s="35"/>
      <c r="B119" s="3"/>
      <c r="C119" s="35"/>
      <c r="D119" s="34"/>
      <c r="E119" s="34"/>
      <c r="F119" s="35"/>
      <c r="G119" s="35"/>
      <c r="H119" s="3"/>
      <c r="I119" s="35"/>
      <c r="J119" s="35" t="str">
        <f>IF(OR(TRIM(E119)="", TRIM(H119)=""), "", IFERROR(IF(OR(VLOOKUP(E119&amp;"|"&amp;H119&amp;"", DB!$A:$N, 6, FALSE)="", VLOOKUP(E119&amp;"|"&amp;H119&amp;"", DB!$A:$N, 6, FALSE)="-"), "", VLOOKUP(E119&amp;"|"&amp;H119&amp;"", DB!$A:$N, 6, FALSE)), ""))</f>
        <v/>
      </c>
      <c r="K119" s="35"/>
      <c r="L119" s="35"/>
      <c r="M119" s="35"/>
      <c r="N119" s="35" t="str">
        <f t="shared" si="1"/>
        <v/>
      </c>
      <c r="O119" s="34"/>
      <c r="P119" s="34"/>
      <c r="Q119" s="34"/>
      <c r="R119" s="34"/>
      <c r="S119" s="34"/>
      <c r="T119" s="34"/>
      <c r="U119" s="34"/>
      <c r="V119" s="34"/>
    </row>
    <row r="120" spans="1:22">
      <c r="A120" s="35"/>
      <c r="B120" s="3"/>
      <c r="C120" s="35"/>
      <c r="D120" s="34"/>
      <c r="E120" s="34"/>
      <c r="F120" s="35"/>
      <c r="G120" s="35"/>
      <c r="H120" s="3"/>
      <c r="I120" s="35"/>
      <c r="J120" s="35" t="str">
        <f>IF(OR(TRIM(E120)="", TRIM(H120)=""), "", IFERROR(IF(OR(VLOOKUP(E120&amp;"|"&amp;H120&amp;"", DB!$A:$N, 6, FALSE)="", VLOOKUP(E120&amp;"|"&amp;H120&amp;"", DB!$A:$N, 6, FALSE)="-"), "", VLOOKUP(E120&amp;"|"&amp;H120&amp;"", DB!$A:$N, 6, FALSE)), ""))</f>
        <v/>
      </c>
      <c r="K120" s="35"/>
      <c r="L120" s="35"/>
      <c r="M120" s="35"/>
      <c r="N120" s="35" t="str">
        <f t="shared" si="1"/>
        <v/>
      </c>
      <c r="O120" s="34"/>
      <c r="P120" s="34"/>
      <c r="Q120" s="34"/>
      <c r="R120" s="34"/>
      <c r="S120" s="34"/>
      <c r="T120" s="34"/>
      <c r="U120" s="34"/>
      <c r="V120" s="34"/>
    </row>
    <row r="121" spans="1:22">
      <c r="A121" s="35"/>
      <c r="B121" s="3"/>
      <c r="C121" s="35"/>
      <c r="D121" s="34"/>
      <c r="E121" s="34"/>
      <c r="F121" s="35"/>
      <c r="G121" s="35"/>
      <c r="H121" s="3"/>
      <c r="I121" s="35"/>
      <c r="J121" s="35" t="str">
        <f>IF(OR(TRIM(E121)="", TRIM(H121)=""), "", IFERROR(IF(OR(VLOOKUP(E121&amp;"|"&amp;H121&amp;"", DB!$A:$N, 6, FALSE)="", VLOOKUP(E121&amp;"|"&amp;H121&amp;"", DB!$A:$N, 6, FALSE)="-"), "", VLOOKUP(E121&amp;"|"&amp;H121&amp;"", DB!$A:$N, 6, FALSE)), ""))</f>
        <v/>
      </c>
      <c r="K121" s="35"/>
      <c r="L121" s="35"/>
      <c r="M121" s="35"/>
      <c r="N121" s="35" t="str">
        <f t="shared" si="1"/>
        <v/>
      </c>
      <c r="O121" s="34"/>
      <c r="P121" s="34"/>
      <c r="Q121" s="34"/>
      <c r="R121" s="34"/>
      <c r="S121" s="34"/>
      <c r="T121" s="34"/>
      <c r="U121" s="34"/>
      <c r="V121" s="34"/>
    </row>
    <row r="122" spans="1:22">
      <c r="A122" s="35"/>
      <c r="B122" s="3"/>
      <c r="C122" s="35"/>
      <c r="D122" s="34"/>
      <c r="E122" s="34"/>
      <c r="F122" s="35"/>
      <c r="G122" s="35"/>
      <c r="H122" s="3"/>
      <c r="I122" s="35"/>
      <c r="J122" s="35" t="str">
        <f>IF(OR(TRIM(E122)="", TRIM(H122)=""), "", IFERROR(IF(OR(VLOOKUP(E122&amp;"|"&amp;H122&amp;"", DB!$A:$N, 6, FALSE)="", VLOOKUP(E122&amp;"|"&amp;H122&amp;"", DB!$A:$N, 6, FALSE)="-"), "", VLOOKUP(E122&amp;"|"&amp;H122&amp;"", DB!$A:$N, 6, FALSE)), ""))</f>
        <v/>
      </c>
      <c r="K122" s="35"/>
      <c r="L122" s="35"/>
      <c r="M122" s="35"/>
      <c r="N122" s="35" t="str">
        <f t="shared" si="1"/>
        <v/>
      </c>
      <c r="O122" s="34"/>
      <c r="P122" s="34"/>
      <c r="Q122" s="34"/>
      <c r="R122" s="34"/>
      <c r="S122" s="34"/>
      <c r="T122" s="34"/>
      <c r="U122" s="34"/>
      <c r="V122" s="34"/>
    </row>
    <row r="123" spans="1:22">
      <c r="A123" s="35"/>
      <c r="B123" s="3"/>
      <c r="C123" s="35"/>
      <c r="D123" s="34"/>
      <c r="E123" s="34"/>
      <c r="F123" s="35"/>
      <c r="G123" s="35"/>
      <c r="H123" s="3"/>
      <c r="I123" s="35"/>
      <c r="J123" s="35" t="str">
        <f>IF(OR(TRIM(E123)="", TRIM(H123)=""), "", IFERROR(IF(OR(VLOOKUP(E123&amp;"|"&amp;H123&amp;"", DB!$A:$N, 6, FALSE)="", VLOOKUP(E123&amp;"|"&amp;H123&amp;"", DB!$A:$N, 6, FALSE)="-"), "", VLOOKUP(E123&amp;"|"&amp;H123&amp;"", DB!$A:$N, 6, FALSE)), ""))</f>
        <v/>
      </c>
      <c r="K123" s="35"/>
      <c r="L123" s="35"/>
      <c r="M123" s="35"/>
      <c r="N123" s="35" t="str">
        <f t="shared" si="1"/>
        <v/>
      </c>
      <c r="O123" s="34"/>
      <c r="P123" s="34"/>
      <c r="Q123" s="34"/>
      <c r="R123" s="34"/>
      <c r="S123" s="34"/>
      <c r="T123" s="34"/>
      <c r="U123" s="34"/>
      <c r="V123" s="34"/>
    </row>
    <row r="124" spans="1:22">
      <c r="A124" s="35"/>
      <c r="B124" s="3"/>
      <c r="C124" s="35"/>
      <c r="D124" s="34"/>
      <c r="E124" s="34"/>
      <c r="F124" s="35"/>
      <c r="G124" s="35"/>
      <c r="H124" s="3"/>
      <c r="I124" s="35"/>
      <c r="J124" s="35" t="str">
        <f>IF(OR(TRIM(E124)="", TRIM(H124)=""), "", IFERROR(IF(OR(VLOOKUP(E124&amp;"|"&amp;H124&amp;"", DB!$A:$N, 6, FALSE)="", VLOOKUP(E124&amp;"|"&amp;H124&amp;"", DB!$A:$N, 6, FALSE)="-"), "", VLOOKUP(E124&amp;"|"&amp;H124&amp;"", DB!$A:$N, 6, FALSE)), ""))</f>
        <v/>
      </c>
      <c r="K124" s="35"/>
      <c r="L124" s="35"/>
      <c r="M124" s="35"/>
      <c r="N124" s="35" t="str">
        <f t="shared" si="1"/>
        <v/>
      </c>
      <c r="O124" s="34"/>
      <c r="P124" s="34"/>
      <c r="Q124" s="34"/>
      <c r="R124" s="34"/>
      <c r="S124" s="34"/>
      <c r="T124" s="34"/>
      <c r="U124" s="34"/>
      <c r="V124" s="34"/>
    </row>
    <row r="125" spans="1:22">
      <c r="A125" s="35"/>
      <c r="B125" s="3"/>
      <c r="C125" s="35"/>
      <c r="D125" s="34"/>
      <c r="E125" s="34"/>
      <c r="F125" s="35"/>
      <c r="G125" s="35"/>
      <c r="H125" s="3"/>
      <c r="I125" s="35"/>
      <c r="J125" s="35" t="str">
        <f>IF(OR(TRIM(E125)="", TRIM(H125)=""), "", IFERROR(IF(OR(VLOOKUP(E125&amp;"|"&amp;H125&amp;"", DB!$A:$N, 6, FALSE)="", VLOOKUP(E125&amp;"|"&amp;H125&amp;"", DB!$A:$N, 6, FALSE)="-"), "", VLOOKUP(E125&amp;"|"&amp;H125&amp;"", DB!$A:$N, 6, FALSE)), ""))</f>
        <v/>
      </c>
      <c r="K125" s="35"/>
      <c r="L125" s="35"/>
      <c r="M125" s="35"/>
      <c r="N125" s="35" t="str">
        <f t="shared" si="1"/>
        <v/>
      </c>
      <c r="O125" s="34"/>
      <c r="P125" s="34"/>
      <c r="Q125" s="34"/>
      <c r="R125" s="34"/>
      <c r="S125" s="34"/>
      <c r="T125" s="34"/>
      <c r="U125" s="34"/>
      <c r="V125" s="34"/>
    </row>
    <row r="126" spans="1:22">
      <c r="A126" s="35"/>
      <c r="B126" s="3"/>
      <c r="C126" s="35"/>
      <c r="D126" s="34"/>
      <c r="E126" s="34"/>
      <c r="F126" s="35"/>
      <c r="G126" s="35"/>
      <c r="H126" s="3"/>
      <c r="I126" s="35"/>
      <c r="J126" s="35" t="str">
        <f>IF(OR(TRIM(E126)="", TRIM(H126)=""), "", IFERROR(IF(OR(VLOOKUP(E126&amp;"|"&amp;H126&amp;"", DB!$A:$N, 6, FALSE)="", VLOOKUP(E126&amp;"|"&amp;H126&amp;"", DB!$A:$N, 6, FALSE)="-"), "", VLOOKUP(E126&amp;"|"&amp;H126&amp;"", DB!$A:$N, 6, FALSE)), ""))</f>
        <v/>
      </c>
      <c r="K126" s="35"/>
      <c r="L126" s="35"/>
      <c r="M126" s="35"/>
      <c r="N126" s="35" t="str">
        <f t="shared" si="1"/>
        <v/>
      </c>
      <c r="O126" s="34"/>
      <c r="P126" s="34"/>
      <c r="Q126" s="34"/>
      <c r="R126" s="34"/>
      <c r="S126" s="34"/>
      <c r="T126" s="34"/>
      <c r="U126" s="34"/>
      <c r="V126" s="34"/>
    </row>
    <row r="127" spans="1:22">
      <c r="A127" s="35"/>
      <c r="B127" s="3"/>
      <c r="C127" s="35"/>
      <c r="D127" s="34"/>
      <c r="E127" s="34"/>
      <c r="F127" s="35"/>
      <c r="G127" s="35"/>
      <c r="H127" s="3"/>
      <c r="I127" s="35"/>
      <c r="J127" s="35" t="str">
        <f>IF(OR(TRIM(E127)="", TRIM(H127)=""), "", IFERROR(IF(OR(VLOOKUP(E127&amp;"|"&amp;H127&amp;"", DB!$A:$N, 6, FALSE)="", VLOOKUP(E127&amp;"|"&amp;H127&amp;"", DB!$A:$N, 6, FALSE)="-"), "", VLOOKUP(E127&amp;"|"&amp;H127&amp;"", DB!$A:$N, 6, FALSE)), ""))</f>
        <v/>
      </c>
      <c r="K127" s="35"/>
      <c r="L127" s="35"/>
      <c r="M127" s="35"/>
      <c r="N127" s="35" t="str">
        <f t="shared" si="1"/>
        <v/>
      </c>
      <c r="O127" s="34"/>
      <c r="P127" s="34"/>
      <c r="Q127" s="34"/>
      <c r="R127" s="34"/>
      <c r="S127" s="34"/>
      <c r="T127" s="34"/>
      <c r="U127" s="34"/>
      <c r="V127" s="34"/>
    </row>
    <row r="128" spans="1:22">
      <c r="A128" s="35"/>
      <c r="B128" s="3"/>
      <c r="C128" s="35"/>
      <c r="D128" s="34"/>
      <c r="E128" s="34"/>
      <c r="F128" s="35"/>
      <c r="G128" s="35"/>
      <c r="H128" s="3"/>
      <c r="I128" s="35"/>
      <c r="J128" s="35" t="str">
        <f>IF(OR(TRIM(E128)="", TRIM(H128)=""), "", IFERROR(IF(OR(VLOOKUP(E128&amp;"|"&amp;H128&amp;"", DB!$A:$N, 6, FALSE)="", VLOOKUP(E128&amp;"|"&amp;H128&amp;"", DB!$A:$N, 6, FALSE)="-"), "", VLOOKUP(E128&amp;"|"&amp;H128&amp;"", DB!$A:$N, 6, FALSE)), ""))</f>
        <v/>
      </c>
      <c r="K128" s="35"/>
      <c r="L128" s="35"/>
      <c r="M128" s="35"/>
      <c r="N128" s="35" t="str">
        <f t="shared" si="1"/>
        <v/>
      </c>
      <c r="O128" s="34"/>
      <c r="P128" s="34"/>
      <c r="Q128" s="34"/>
      <c r="R128" s="34"/>
      <c r="S128" s="34"/>
      <c r="T128" s="34"/>
      <c r="U128" s="34"/>
      <c r="V128" s="34"/>
    </row>
    <row r="129" spans="1:22">
      <c r="A129" s="35"/>
      <c r="B129" s="3"/>
      <c r="C129" s="35"/>
      <c r="D129" s="34"/>
      <c r="E129" s="34"/>
      <c r="F129" s="35"/>
      <c r="G129" s="35"/>
      <c r="H129" s="3"/>
      <c r="I129" s="35"/>
      <c r="J129" s="35" t="str">
        <f>IF(OR(TRIM(E129)="", TRIM(H129)=""), "", IFERROR(IF(OR(VLOOKUP(E129&amp;"|"&amp;H129&amp;"", DB!$A:$N, 6, FALSE)="", VLOOKUP(E129&amp;"|"&amp;H129&amp;"", DB!$A:$N, 6, FALSE)="-"), "", VLOOKUP(E129&amp;"|"&amp;H129&amp;"", DB!$A:$N, 6, FALSE)), ""))</f>
        <v/>
      </c>
      <c r="K129" s="35"/>
      <c r="L129" s="35"/>
      <c r="M129" s="35"/>
      <c r="N129" s="35" t="str">
        <f t="shared" si="1"/>
        <v/>
      </c>
      <c r="O129" s="34"/>
      <c r="P129" s="34"/>
      <c r="Q129" s="34"/>
      <c r="R129" s="34"/>
      <c r="S129" s="34"/>
      <c r="T129" s="34"/>
      <c r="U129" s="34"/>
      <c r="V129" s="34"/>
    </row>
    <row r="130" spans="1:22">
      <c r="A130" s="35"/>
      <c r="B130" s="3"/>
      <c r="C130" s="35"/>
      <c r="D130" s="34"/>
      <c r="E130" s="34"/>
      <c r="F130" s="35"/>
      <c r="G130" s="35"/>
      <c r="H130" s="3"/>
      <c r="I130" s="35"/>
      <c r="J130" s="35" t="str">
        <f>IF(OR(TRIM(E130)="", TRIM(H130)=""), "", IFERROR(IF(OR(VLOOKUP(E130&amp;"|"&amp;H130&amp;"", DB!$A:$N, 6, FALSE)="", VLOOKUP(E130&amp;"|"&amp;H130&amp;"", DB!$A:$N, 6, FALSE)="-"), "", VLOOKUP(E130&amp;"|"&amp;H130&amp;"", DB!$A:$N, 6, FALSE)), ""))</f>
        <v/>
      </c>
      <c r="K130" s="35"/>
      <c r="L130" s="35"/>
      <c r="M130" s="35"/>
      <c r="N130" s="35" t="str">
        <f t="shared" ref="N130:N193" si="2">IF(TRIM(D130)="", "", IF(N(L130)-N(M130)&lt;=0, "X", N(L130)-N(M130)))</f>
        <v/>
      </c>
      <c r="O130" s="34"/>
      <c r="P130" s="34"/>
      <c r="Q130" s="34"/>
      <c r="R130" s="34"/>
      <c r="S130" s="34"/>
      <c r="T130" s="34"/>
      <c r="U130" s="34"/>
      <c r="V130" s="34"/>
    </row>
    <row r="131" spans="1:22">
      <c r="A131" s="35"/>
      <c r="B131" s="3"/>
      <c r="C131" s="35"/>
      <c r="D131" s="34"/>
      <c r="E131" s="34"/>
      <c r="F131" s="35"/>
      <c r="G131" s="35"/>
      <c r="H131" s="3"/>
      <c r="I131" s="35"/>
      <c r="J131" s="35" t="str">
        <f>IF(OR(TRIM(E131)="", TRIM(H131)=""), "", IFERROR(IF(OR(VLOOKUP(E131&amp;"|"&amp;H131&amp;"", DB!$A:$N, 6, FALSE)="", VLOOKUP(E131&amp;"|"&amp;H131&amp;"", DB!$A:$N, 6, FALSE)="-"), "", VLOOKUP(E131&amp;"|"&amp;H131&amp;"", DB!$A:$N, 6, FALSE)), ""))</f>
        <v/>
      </c>
      <c r="K131" s="35"/>
      <c r="L131" s="35"/>
      <c r="M131" s="35"/>
      <c r="N131" s="35" t="str">
        <f t="shared" si="2"/>
        <v/>
      </c>
      <c r="O131" s="34"/>
      <c r="P131" s="34"/>
      <c r="Q131" s="34"/>
      <c r="R131" s="34"/>
      <c r="S131" s="34"/>
      <c r="T131" s="34"/>
      <c r="U131" s="34"/>
      <c r="V131" s="34"/>
    </row>
    <row r="132" spans="1:22">
      <c r="A132" s="35"/>
      <c r="B132" s="3"/>
      <c r="C132" s="35"/>
      <c r="D132" s="34"/>
      <c r="E132" s="34"/>
      <c r="F132" s="35"/>
      <c r="G132" s="35"/>
      <c r="H132" s="3"/>
      <c r="I132" s="35"/>
      <c r="J132" s="35" t="str">
        <f>IF(OR(TRIM(E132)="", TRIM(H132)=""), "", IFERROR(IF(OR(VLOOKUP(E132&amp;"|"&amp;H132&amp;"", DB!$A:$N, 6, FALSE)="", VLOOKUP(E132&amp;"|"&amp;H132&amp;"", DB!$A:$N, 6, FALSE)="-"), "", VLOOKUP(E132&amp;"|"&amp;H132&amp;"", DB!$A:$N, 6, FALSE)), ""))</f>
        <v/>
      </c>
      <c r="K132" s="35"/>
      <c r="L132" s="35"/>
      <c r="M132" s="35"/>
      <c r="N132" s="35" t="str">
        <f t="shared" si="2"/>
        <v/>
      </c>
      <c r="O132" s="34"/>
      <c r="P132" s="34"/>
      <c r="Q132" s="34"/>
      <c r="R132" s="34"/>
      <c r="S132" s="34"/>
      <c r="T132" s="34"/>
      <c r="U132" s="34"/>
      <c r="V132" s="34"/>
    </row>
    <row r="133" spans="1:22">
      <c r="A133" s="35"/>
      <c r="B133" s="3"/>
      <c r="C133" s="35"/>
      <c r="D133" s="34"/>
      <c r="E133" s="34"/>
      <c r="F133" s="35"/>
      <c r="G133" s="35"/>
      <c r="H133" s="3"/>
      <c r="I133" s="35"/>
      <c r="J133" s="35" t="str">
        <f>IF(OR(TRIM(E133)="", TRIM(H133)=""), "", IFERROR(IF(OR(VLOOKUP(E133&amp;"|"&amp;H133&amp;"", DB!$A:$N, 6, FALSE)="", VLOOKUP(E133&amp;"|"&amp;H133&amp;"", DB!$A:$N, 6, FALSE)="-"), "", VLOOKUP(E133&amp;"|"&amp;H133&amp;"", DB!$A:$N, 6, FALSE)), ""))</f>
        <v/>
      </c>
      <c r="K133" s="35"/>
      <c r="L133" s="35"/>
      <c r="M133" s="35"/>
      <c r="N133" s="35" t="str">
        <f t="shared" si="2"/>
        <v/>
      </c>
      <c r="O133" s="34"/>
      <c r="P133" s="34"/>
      <c r="Q133" s="34"/>
      <c r="R133" s="34"/>
      <c r="S133" s="34"/>
      <c r="T133" s="34"/>
      <c r="U133" s="34"/>
      <c r="V133" s="34"/>
    </row>
    <row r="134" spans="1:22">
      <c r="A134" s="35"/>
      <c r="B134" s="3"/>
      <c r="C134" s="35"/>
      <c r="D134" s="34"/>
      <c r="E134" s="34"/>
      <c r="F134" s="35"/>
      <c r="G134" s="35"/>
      <c r="H134" s="3"/>
      <c r="I134" s="35"/>
      <c r="J134" s="35" t="str">
        <f>IF(OR(TRIM(E134)="", TRIM(H134)=""), "", IFERROR(IF(OR(VLOOKUP(E134&amp;"|"&amp;H134&amp;"", DB!$A:$N, 6, FALSE)="", VLOOKUP(E134&amp;"|"&amp;H134&amp;"", DB!$A:$N, 6, FALSE)="-"), "", VLOOKUP(E134&amp;"|"&amp;H134&amp;"", DB!$A:$N, 6, FALSE)), ""))</f>
        <v/>
      </c>
      <c r="K134" s="35"/>
      <c r="L134" s="35"/>
      <c r="M134" s="35"/>
      <c r="N134" s="35" t="str">
        <f t="shared" si="2"/>
        <v/>
      </c>
      <c r="O134" s="34"/>
      <c r="P134" s="34"/>
      <c r="Q134" s="34"/>
      <c r="R134" s="34"/>
      <c r="S134" s="34"/>
      <c r="T134" s="34"/>
      <c r="U134" s="34"/>
      <c r="V134" s="34"/>
    </row>
    <row r="135" spans="1:22">
      <c r="A135" s="35"/>
      <c r="B135" s="3"/>
      <c r="C135" s="35"/>
      <c r="D135" s="34"/>
      <c r="E135" s="34"/>
      <c r="F135" s="35"/>
      <c r="G135" s="35"/>
      <c r="H135" s="3"/>
      <c r="I135" s="35"/>
      <c r="J135" s="35" t="str">
        <f>IF(OR(TRIM(E135)="", TRIM(H135)=""), "", IFERROR(IF(OR(VLOOKUP(E135&amp;"|"&amp;H135&amp;"", DB!$A:$N, 6, FALSE)="", VLOOKUP(E135&amp;"|"&amp;H135&amp;"", DB!$A:$N, 6, FALSE)="-"), "", VLOOKUP(E135&amp;"|"&amp;H135&amp;"", DB!$A:$N, 6, FALSE)), ""))</f>
        <v/>
      </c>
      <c r="K135" s="35"/>
      <c r="L135" s="35"/>
      <c r="M135" s="35"/>
      <c r="N135" s="35" t="str">
        <f t="shared" si="2"/>
        <v/>
      </c>
      <c r="O135" s="34"/>
      <c r="P135" s="34"/>
      <c r="Q135" s="34"/>
      <c r="R135" s="34"/>
      <c r="S135" s="34"/>
      <c r="T135" s="34"/>
      <c r="U135" s="34"/>
      <c r="V135" s="34"/>
    </row>
    <row r="136" spans="1:22">
      <c r="A136" s="35"/>
      <c r="B136" s="3"/>
      <c r="C136" s="35"/>
      <c r="D136" s="34"/>
      <c r="E136" s="34"/>
      <c r="F136" s="35"/>
      <c r="G136" s="35"/>
      <c r="H136" s="3"/>
      <c r="I136" s="35"/>
      <c r="J136" s="35" t="str">
        <f>IF(OR(TRIM(E136)="", TRIM(H136)=""), "", IFERROR(IF(OR(VLOOKUP(E136&amp;"|"&amp;H136&amp;"", DB!$A:$N, 6, FALSE)="", VLOOKUP(E136&amp;"|"&amp;H136&amp;"", DB!$A:$N, 6, FALSE)="-"), "", VLOOKUP(E136&amp;"|"&amp;H136&amp;"", DB!$A:$N, 6, FALSE)), ""))</f>
        <v/>
      </c>
      <c r="K136" s="35"/>
      <c r="L136" s="35"/>
      <c r="M136" s="35"/>
      <c r="N136" s="35" t="str">
        <f t="shared" si="2"/>
        <v/>
      </c>
      <c r="O136" s="34"/>
      <c r="P136" s="34"/>
      <c r="Q136" s="34"/>
      <c r="R136" s="34"/>
      <c r="S136" s="34"/>
      <c r="T136" s="34"/>
      <c r="U136" s="34"/>
      <c r="V136" s="34"/>
    </row>
    <row r="137" spans="1:22">
      <c r="A137" s="35"/>
      <c r="B137" s="3"/>
      <c r="C137" s="35"/>
      <c r="D137" s="34"/>
      <c r="E137" s="34"/>
      <c r="F137" s="35"/>
      <c r="G137" s="35"/>
      <c r="H137" s="3"/>
      <c r="I137" s="35"/>
      <c r="J137" s="35" t="str">
        <f>IF(OR(TRIM(E137)="", TRIM(H137)=""), "", IFERROR(IF(OR(VLOOKUP(E137&amp;"|"&amp;H137&amp;"", DB!$A:$N, 6, FALSE)="", VLOOKUP(E137&amp;"|"&amp;H137&amp;"", DB!$A:$N, 6, FALSE)="-"), "", VLOOKUP(E137&amp;"|"&amp;H137&amp;"", DB!$A:$N, 6, FALSE)), ""))</f>
        <v/>
      </c>
      <c r="K137" s="35"/>
      <c r="L137" s="35"/>
      <c r="M137" s="35"/>
      <c r="N137" s="35" t="str">
        <f t="shared" si="2"/>
        <v/>
      </c>
      <c r="O137" s="34"/>
      <c r="P137" s="34"/>
      <c r="Q137" s="34"/>
      <c r="R137" s="34"/>
      <c r="S137" s="34"/>
      <c r="T137" s="34"/>
      <c r="U137" s="34"/>
      <c r="V137" s="34"/>
    </row>
    <row r="138" spans="1:22">
      <c r="A138" s="35"/>
      <c r="B138" s="3"/>
      <c r="C138" s="35"/>
      <c r="D138" s="34"/>
      <c r="E138" s="34"/>
      <c r="F138" s="35"/>
      <c r="G138" s="35"/>
      <c r="H138" s="3"/>
      <c r="I138" s="35"/>
      <c r="J138" s="35" t="str">
        <f>IF(OR(TRIM(E138)="", TRIM(H138)=""), "", IFERROR(IF(OR(VLOOKUP(E138&amp;"|"&amp;H138&amp;"", DB!$A:$N, 6, FALSE)="", VLOOKUP(E138&amp;"|"&amp;H138&amp;"", DB!$A:$N, 6, FALSE)="-"), "", VLOOKUP(E138&amp;"|"&amp;H138&amp;"", DB!$A:$N, 6, FALSE)), ""))</f>
        <v/>
      </c>
      <c r="K138" s="35"/>
      <c r="L138" s="35"/>
      <c r="M138" s="35"/>
      <c r="N138" s="35" t="str">
        <f t="shared" si="2"/>
        <v/>
      </c>
      <c r="O138" s="34"/>
      <c r="P138" s="34"/>
      <c r="Q138" s="34"/>
      <c r="R138" s="34"/>
      <c r="S138" s="34"/>
      <c r="T138" s="34"/>
      <c r="U138" s="34"/>
      <c r="V138" s="34"/>
    </row>
    <row r="139" spans="1:22">
      <c r="A139" s="35"/>
      <c r="B139" s="3"/>
      <c r="C139" s="35"/>
      <c r="D139" s="34"/>
      <c r="E139" s="34"/>
      <c r="F139" s="35"/>
      <c r="G139" s="35"/>
      <c r="H139" s="3"/>
      <c r="I139" s="35"/>
      <c r="J139" s="35" t="str">
        <f>IF(OR(TRIM(E139)="", TRIM(H139)=""), "", IFERROR(IF(OR(VLOOKUP(E139&amp;"|"&amp;H139&amp;"", DB!$A:$N, 6, FALSE)="", VLOOKUP(E139&amp;"|"&amp;H139&amp;"", DB!$A:$N, 6, FALSE)="-"), "", VLOOKUP(E139&amp;"|"&amp;H139&amp;"", DB!$A:$N, 6, FALSE)), ""))</f>
        <v/>
      </c>
      <c r="K139" s="35"/>
      <c r="L139" s="35"/>
      <c r="M139" s="35"/>
      <c r="N139" s="35" t="str">
        <f t="shared" si="2"/>
        <v/>
      </c>
      <c r="O139" s="34"/>
      <c r="P139" s="34"/>
      <c r="Q139" s="34"/>
      <c r="R139" s="34"/>
      <c r="S139" s="34"/>
      <c r="T139" s="34"/>
      <c r="U139" s="34"/>
      <c r="V139" s="34"/>
    </row>
    <row r="140" spans="1:22">
      <c r="A140" s="35"/>
      <c r="B140" s="3"/>
      <c r="C140" s="35"/>
      <c r="D140" s="34"/>
      <c r="E140" s="34"/>
      <c r="F140" s="35"/>
      <c r="G140" s="35"/>
      <c r="H140" s="3"/>
      <c r="I140" s="35"/>
      <c r="J140" s="35" t="str">
        <f>IF(OR(TRIM(E140)="", TRIM(H140)=""), "", IFERROR(IF(OR(VLOOKUP(E140&amp;"|"&amp;H140&amp;"", DB!$A:$N, 6, FALSE)="", VLOOKUP(E140&amp;"|"&amp;H140&amp;"", DB!$A:$N, 6, FALSE)="-"), "", VLOOKUP(E140&amp;"|"&amp;H140&amp;"", DB!$A:$N, 6, FALSE)), ""))</f>
        <v/>
      </c>
      <c r="K140" s="35"/>
      <c r="L140" s="35"/>
      <c r="M140" s="35"/>
      <c r="N140" s="35" t="str">
        <f t="shared" si="2"/>
        <v/>
      </c>
      <c r="O140" s="34"/>
      <c r="P140" s="34"/>
      <c r="Q140" s="34"/>
      <c r="R140" s="34"/>
      <c r="S140" s="34"/>
      <c r="T140" s="34"/>
      <c r="U140" s="34"/>
      <c r="V140" s="34"/>
    </row>
    <row r="141" spans="1:22">
      <c r="A141" s="35"/>
      <c r="B141" s="3"/>
      <c r="C141" s="35"/>
      <c r="D141" s="34"/>
      <c r="E141" s="34"/>
      <c r="F141" s="35"/>
      <c r="G141" s="35"/>
      <c r="H141" s="3"/>
      <c r="I141" s="35"/>
      <c r="J141" s="35" t="str">
        <f>IF(OR(TRIM(E141)="", TRIM(H141)=""), "", IFERROR(IF(OR(VLOOKUP(E141&amp;"|"&amp;H141&amp;"", DB!$A:$N, 6, FALSE)="", VLOOKUP(E141&amp;"|"&amp;H141&amp;"", DB!$A:$N, 6, FALSE)="-"), "", VLOOKUP(E141&amp;"|"&amp;H141&amp;"", DB!$A:$N, 6, FALSE)), ""))</f>
        <v/>
      </c>
      <c r="K141" s="35"/>
      <c r="L141" s="35"/>
      <c r="M141" s="35"/>
      <c r="N141" s="35" t="str">
        <f t="shared" si="2"/>
        <v/>
      </c>
      <c r="O141" s="34"/>
      <c r="P141" s="34"/>
      <c r="Q141" s="34"/>
      <c r="R141" s="34"/>
      <c r="S141" s="34"/>
      <c r="T141" s="34"/>
      <c r="U141" s="34"/>
      <c r="V141" s="34"/>
    </row>
    <row r="142" spans="1:22">
      <c r="A142" s="35"/>
      <c r="B142" s="3"/>
      <c r="C142" s="35"/>
      <c r="D142" s="34"/>
      <c r="E142" s="34"/>
      <c r="F142" s="35"/>
      <c r="G142" s="35"/>
      <c r="H142" s="3"/>
      <c r="I142" s="35"/>
      <c r="J142" s="35" t="str">
        <f>IF(OR(TRIM(E142)="", TRIM(H142)=""), "", IFERROR(IF(OR(VLOOKUP(E142&amp;"|"&amp;H142&amp;"", DB!$A:$N, 6, FALSE)="", VLOOKUP(E142&amp;"|"&amp;H142&amp;"", DB!$A:$N, 6, FALSE)="-"), "", VLOOKUP(E142&amp;"|"&amp;H142&amp;"", DB!$A:$N, 6, FALSE)), ""))</f>
        <v/>
      </c>
      <c r="K142" s="35"/>
      <c r="L142" s="35"/>
      <c r="M142" s="35"/>
      <c r="N142" s="35" t="str">
        <f t="shared" si="2"/>
        <v/>
      </c>
      <c r="O142" s="34"/>
      <c r="P142" s="34"/>
      <c r="Q142" s="34"/>
      <c r="R142" s="34"/>
      <c r="S142" s="34"/>
      <c r="T142" s="34"/>
      <c r="U142" s="34"/>
      <c r="V142" s="34"/>
    </row>
    <row r="143" spans="1:22">
      <c r="A143" s="35"/>
      <c r="B143" s="3"/>
      <c r="C143" s="35"/>
      <c r="D143" s="34"/>
      <c r="E143" s="34"/>
      <c r="F143" s="35"/>
      <c r="G143" s="35"/>
      <c r="H143" s="3"/>
      <c r="I143" s="35"/>
      <c r="J143" s="35" t="str">
        <f>IF(OR(TRIM(E143)="", TRIM(H143)=""), "", IFERROR(IF(OR(VLOOKUP(E143&amp;"|"&amp;H143&amp;"", DB!$A:$N, 6, FALSE)="", VLOOKUP(E143&amp;"|"&amp;H143&amp;"", DB!$A:$N, 6, FALSE)="-"), "", VLOOKUP(E143&amp;"|"&amp;H143&amp;"", DB!$A:$N, 6, FALSE)), ""))</f>
        <v/>
      </c>
      <c r="K143" s="35"/>
      <c r="L143" s="35"/>
      <c r="M143" s="35"/>
      <c r="N143" s="35" t="str">
        <f t="shared" si="2"/>
        <v/>
      </c>
      <c r="O143" s="34"/>
      <c r="P143" s="34"/>
      <c r="Q143" s="34"/>
      <c r="R143" s="34"/>
      <c r="S143" s="34"/>
      <c r="T143" s="34"/>
      <c r="U143" s="34"/>
      <c r="V143" s="34"/>
    </row>
    <row r="144" spans="1:22">
      <c r="A144" s="35"/>
      <c r="B144" s="3"/>
      <c r="C144" s="35"/>
      <c r="D144" s="34"/>
      <c r="E144" s="34"/>
      <c r="F144" s="35"/>
      <c r="G144" s="35"/>
      <c r="H144" s="3"/>
      <c r="I144" s="35"/>
      <c r="J144" s="35" t="str">
        <f>IF(OR(TRIM(E144)="", TRIM(H144)=""), "", IFERROR(IF(OR(VLOOKUP(E144&amp;"|"&amp;H144&amp;"", DB!$A:$N, 6, FALSE)="", VLOOKUP(E144&amp;"|"&amp;H144&amp;"", DB!$A:$N, 6, FALSE)="-"), "", VLOOKUP(E144&amp;"|"&amp;H144&amp;"", DB!$A:$N, 6, FALSE)), ""))</f>
        <v/>
      </c>
      <c r="K144" s="35"/>
      <c r="L144" s="35"/>
      <c r="M144" s="35"/>
      <c r="N144" s="35" t="str">
        <f t="shared" si="2"/>
        <v/>
      </c>
      <c r="O144" s="34"/>
      <c r="P144" s="34"/>
      <c r="Q144" s="34"/>
      <c r="R144" s="34"/>
      <c r="S144" s="34"/>
      <c r="T144" s="34"/>
      <c r="U144" s="34"/>
      <c r="V144" s="34"/>
    </row>
    <row r="145" spans="1:22">
      <c r="A145" s="35"/>
      <c r="B145" s="3"/>
      <c r="C145" s="35"/>
      <c r="D145" s="34"/>
      <c r="E145" s="34"/>
      <c r="F145" s="35"/>
      <c r="G145" s="35"/>
      <c r="H145" s="3"/>
      <c r="I145" s="35"/>
      <c r="J145" s="35" t="str">
        <f>IF(OR(TRIM(E145)="", TRIM(H145)=""), "", IFERROR(IF(OR(VLOOKUP(E145&amp;"|"&amp;H145&amp;"", DB!$A:$N, 6, FALSE)="", VLOOKUP(E145&amp;"|"&amp;H145&amp;"", DB!$A:$N, 6, FALSE)="-"), "", VLOOKUP(E145&amp;"|"&amp;H145&amp;"", DB!$A:$N, 6, FALSE)), ""))</f>
        <v/>
      </c>
      <c r="K145" s="35"/>
      <c r="L145" s="35"/>
      <c r="M145" s="35"/>
      <c r="N145" s="35" t="str">
        <f t="shared" si="2"/>
        <v/>
      </c>
      <c r="O145" s="34"/>
      <c r="P145" s="34"/>
      <c r="Q145" s="34"/>
      <c r="R145" s="34"/>
      <c r="S145" s="34"/>
      <c r="T145" s="34"/>
      <c r="U145" s="34"/>
      <c r="V145" s="34"/>
    </row>
    <row r="146" spans="1:22">
      <c r="A146" s="35"/>
      <c r="B146" s="3"/>
      <c r="C146" s="35"/>
      <c r="D146" s="34"/>
      <c r="E146" s="34"/>
      <c r="F146" s="35"/>
      <c r="G146" s="35"/>
      <c r="H146" s="3"/>
      <c r="I146" s="35"/>
      <c r="J146" s="35" t="str">
        <f>IF(OR(TRIM(E146)="", TRIM(H146)=""), "", IFERROR(IF(OR(VLOOKUP(E146&amp;"|"&amp;H146&amp;"", DB!$A:$N, 6, FALSE)="", VLOOKUP(E146&amp;"|"&amp;H146&amp;"", DB!$A:$N, 6, FALSE)="-"), "", VLOOKUP(E146&amp;"|"&amp;H146&amp;"", DB!$A:$N, 6, FALSE)), ""))</f>
        <v/>
      </c>
      <c r="K146" s="35"/>
      <c r="L146" s="35"/>
      <c r="M146" s="35"/>
      <c r="N146" s="35" t="str">
        <f t="shared" si="2"/>
        <v/>
      </c>
      <c r="O146" s="34"/>
      <c r="P146" s="34"/>
      <c r="Q146" s="34"/>
      <c r="R146" s="34"/>
      <c r="S146" s="34"/>
      <c r="T146" s="34"/>
      <c r="U146" s="34"/>
      <c r="V146" s="34"/>
    </row>
    <row r="147" spans="1:22">
      <c r="A147" s="35"/>
      <c r="B147" s="3"/>
      <c r="C147" s="35"/>
      <c r="D147" s="34"/>
      <c r="E147" s="34"/>
      <c r="F147" s="35"/>
      <c r="G147" s="35"/>
      <c r="H147" s="3"/>
      <c r="I147" s="35"/>
      <c r="J147" s="35" t="str">
        <f>IF(OR(TRIM(E147)="", TRIM(H147)=""), "", IFERROR(IF(OR(VLOOKUP(E147&amp;"|"&amp;H147&amp;"", DB!$A:$N, 6, FALSE)="", VLOOKUP(E147&amp;"|"&amp;H147&amp;"", DB!$A:$N, 6, FALSE)="-"), "", VLOOKUP(E147&amp;"|"&amp;H147&amp;"", DB!$A:$N, 6, FALSE)), ""))</f>
        <v/>
      </c>
      <c r="K147" s="35"/>
      <c r="L147" s="35"/>
      <c r="M147" s="35"/>
      <c r="N147" s="35" t="str">
        <f t="shared" si="2"/>
        <v/>
      </c>
      <c r="O147" s="34"/>
      <c r="P147" s="34"/>
      <c r="Q147" s="34"/>
      <c r="R147" s="34"/>
      <c r="S147" s="34"/>
      <c r="T147" s="34"/>
      <c r="U147" s="34"/>
      <c r="V147" s="34"/>
    </row>
    <row r="148" spans="1:22">
      <c r="A148" s="35"/>
      <c r="B148" s="3"/>
      <c r="C148" s="35"/>
      <c r="D148" s="34"/>
      <c r="E148" s="34"/>
      <c r="F148" s="35"/>
      <c r="G148" s="35"/>
      <c r="H148" s="3"/>
      <c r="I148" s="35"/>
      <c r="J148" s="35" t="str">
        <f>IF(OR(TRIM(E148)="", TRIM(H148)=""), "", IFERROR(IF(OR(VLOOKUP(E148&amp;"|"&amp;H148&amp;"", DB!$A:$N, 6, FALSE)="", VLOOKUP(E148&amp;"|"&amp;H148&amp;"", DB!$A:$N, 6, FALSE)="-"), "", VLOOKUP(E148&amp;"|"&amp;H148&amp;"", DB!$A:$N, 6, FALSE)), ""))</f>
        <v/>
      </c>
      <c r="K148" s="35"/>
      <c r="L148" s="35"/>
      <c r="M148" s="35"/>
      <c r="N148" s="35" t="str">
        <f t="shared" si="2"/>
        <v/>
      </c>
      <c r="O148" s="34"/>
      <c r="P148" s="34"/>
      <c r="Q148" s="34"/>
      <c r="R148" s="34"/>
      <c r="S148" s="34"/>
      <c r="T148" s="34"/>
      <c r="U148" s="34"/>
      <c r="V148" s="34"/>
    </row>
    <row r="149" spans="1:22">
      <c r="A149" s="35"/>
      <c r="B149" s="3"/>
      <c r="C149" s="35"/>
      <c r="D149" s="34"/>
      <c r="E149" s="34"/>
      <c r="F149" s="35"/>
      <c r="G149" s="35"/>
      <c r="H149" s="3"/>
      <c r="I149" s="35"/>
      <c r="J149" s="35" t="str">
        <f>IF(OR(TRIM(E149)="", TRIM(H149)=""), "", IFERROR(IF(OR(VLOOKUP(E149&amp;"|"&amp;H149&amp;"", DB!$A:$N, 6, FALSE)="", VLOOKUP(E149&amp;"|"&amp;H149&amp;"", DB!$A:$N, 6, FALSE)="-"), "", VLOOKUP(E149&amp;"|"&amp;H149&amp;"", DB!$A:$N, 6, FALSE)), ""))</f>
        <v/>
      </c>
      <c r="K149" s="35"/>
      <c r="L149" s="35"/>
      <c r="M149" s="35"/>
      <c r="N149" s="35" t="str">
        <f t="shared" si="2"/>
        <v/>
      </c>
      <c r="O149" s="34"/>
      <c r="P149" s="34"/>
      <c r="Q149" s="34"/>
      <c r="R149" s="34"/>
      <c r="S149" s="34"/>
      <c r="T149" s="34"/>
      <c r="U149" s="34"/>
      <c r="V149" s="34"/>
    </row>
    <row r="150" spans="1:22">
      <c r="A150" s="35"/>
      <c r="B150" s="3"/>
      <c r="C150" s="35"/>
      <c r="D150" s="34"/>
      <c r="E150" s="34"/>
      <c r="F150" s="35"/>
      <c r="G150" s="35"/>
      <c r="H150" s="3"/>
      <c r="I150" s="35"/>
      <c r="J150" s="35" t="str">
        <f>IF(OR(TRIM(E150)="", TRIM(H150)=""), "", IFERROR(IF(OR(VLOOKUP(E150&amp;"|"&amp;H150&amp;"", DB!$A:$N, 6, FALSE)="", VLOOKUP(E150&amp;"|"&amp;H150&amp;"", DB!$A:$N, 6, FALSE)="-"), "", VLOOKUP(E150&amp;"|"&amp;H150&amp;"", DB!$A:$N, 6, FALSE)), ""))</f>
        <v/>
      </c>
      <c r="K150" s="35"/>
      <c r="L150" s="35"/>
      <c r="M150" s="35"/>
      <c r="N150" s="35" t="str">
        <f t="shared" si="2"/>
        <v/>
      </c>
      <c r="O150" s="34"/>
      <c r="P150" s="34"/>
      <c r="Q150" s="34"/>
      <c r="R150" s="34"/>
      <c r="S150" s="34"/>
      <c r="T150" s="34"/>
      <c r="U150" s="34"/>
      <c r="V150" s="34"/>
    </row>
    <row r="151" spans="1:22">
      <c r="A151" s="35"/>
      <c r="B151" s="3"/>
      <c r="C151" s="35"/>
      <c r="D151" s="34"/>
      <c r="E151" s="34"/>
      <c r="F151" s="35"/>
      <c r="G151" s="35"/>
      <c r="H151" s="3"/>
      <c r="I151" s="35"/>
      <c r="J151" s="35" t="str">
        <f>IF(OR(TRIM(E151)="", TRIM(H151)=""), "", IFERROR(IF(OR(VLOOKUP(E151&amp;"|"&amp;H151&amp;"", DB!$A:$N, 6, FALSE)="", VLOOKUP(E151&amp;"|"&amp;H151&amp;"", DB!$A:$N, 6, FALSE)="-"), "", VLOOKUP(E151&amp;"|"&amp;H151&amp;"", DB!$A:$N, 6, FALSE)), ""))</f>
        <v/>
      </c>
      <c r="K151" s="35"/>
      <c r="L151" s="35"/>
      <c r="M151" s="35"/>
      <c r="N151" s="35" t="str">
        <f t="shared" si="2"/>
        <v/>
      </c>
      <c r="O151" s="34"/>
      <c r="P151" s="34"/>
      <c r="Q151" s="34"/>
      <c r="R151" s="34"/>
      <c r="S151" s="34"/>
      <c r="T151" s="34"/>
      <c r="U151" s="34"/>
      <c r="V151" s="34"/>
    </row>
    <row r="152" spans="1:22">
      <c r="A152" s="35"/>
      <c r="B152" s="3"/>
      <c r="C152" s="35"/>
      <c r="D152" s="34"/>
      <c r="E152" s="34"/>
      <c r="F152" s="35"/>
      <c r="G152" s="35"/>
      <c r="H152" s="3"/>
      <c r="I152" s="35"/>
      <c r="J152" s="35" t="str">
        <f>IF(OR(TRIM(E152)="", TRIM(H152)=""), "", IFERROR(IF(OR(VLOOKUP(E152&amp;"|"&amp;H152&amp;"", DB!$A:$N, 6, FALSE)="", VLOOKUP(E152&amp;"|"&amp;H152&amp;"", DB!$A:$N, 6, FALSE)="-"), "", VLOOKUP(E152&amp;"|"&amp;H152&amp;"", DB!$A:$N, 6, FALSE)), ""))</f>
        <v/>
      </c>
      <c r="K152" s="35"/>
      <c r="L152" s="35"/>
      <c r="M152" s="35"/>
      <c r="N152" s="35" t="str">
        <f t="shared" si="2"/>
        <v/>
      </c>
      <c r="O152" s="34"/>
      <c r="P152" s="34"/>
      <c r="Q152" s="34"/>
      <c r="R152" s="34"/>
      <c r="S152" s="34"/>
      <c r="T152" s="34"/>
      <c r="U152" s="34"/>
      <c r="V152" s="34"/>
    </row>
    <row r="153" spans="1:22">
      <c r="A153" s="35"/>
      <c r="B153" s="3"/>
      <c r="C153" s="35"/>
      <c r="D153" s="34"/>
      <c r="E153" s="34"/>
      <c r="F153" s="35"/>
      <c r="G153" s="35"/>
      <c r="H153" s="3"/>
      <c r="I153" s="35"/>
      <c r="J153" s="35" t="str">
        <f>IF(OR(TRIM(E153)="", TRIM(H153)=""), "", IFERROR(IF(OR(VLOOKUP(E153&amp;"|"&amp;H153&amp;"", DB!$A:$N, 6, FALSE)="", VLOOKUP(E153&amp;"|"&amp;H153&amp;"", DB!$A:$N, 6, FALSE)="-"), "", VLOOKUP(E153&amp;"|"&amp;H153&amp;"", DB!$A:$N, 6, FALSE)), ""))</f>
        <v/>
      </c>
      <c r="K153" s="35"/>
      <c r="L153" s="35"/>
      <c r="M153" s="35"/>
      <c r="N153" s="35" t="str">
        <f t="shared" si="2"/>
        <v/>
      </c>
      <c r="O153" s="34"/>
      <c r="P153" s="34"/>
      <c r="Q153" s="34"/>
      <c r="R153" s="34"/>
      <c r="S153" s="34"/>
      <c r="T153" s="34"/>
      <c r="U153" s="34"/>
      <c r="V153" s="34"/>
    </row>
    <row r="154" spans="1:22">
      <c r="A154" s="35"/>
      <c r="B154" s="3"/>
      <c r="C154" s="35"/>
      <c r="D154" s="34"/>
      <c r="E154" s="34"/>
      <c r="F154" s="35"/>
      <c r="G154" s="35"/>
      <c r="H154" s="3"/>
      <c r="I154" s="35"/>
      <c r="J154" s="35" t="str">
        <f>IF(OR(TRIM(E154)="", TRIM(H154)=""), "", IFERROR(IF(OR(VLOOKUP(E154&amp;"|"&amp;H154&amp;"", DB!$A:$N, 6, FALSE)="", VLOOKUP(E154&amp;"|"&amp;H154&amp;"", DB!$A:$N, 6, FALSE)="-"), "", VLOOKUP(E154&amp;"|"&amp;H154&amp;"", DB!$A:$N, 6, FALSE)), ""))</f>
        <v/>
      </c>
      <c r="K154" s="35"/>
      <c r="L154" s="35"/>
      <c r="M154" s="35"/>
      <c r="N154" s="35" t="str">
        <f t="shared" si="2"/>
        <v/>
      </c>
      <c r="O154" s="34"/>
      <c r="P154" s="34"/>
      <c r="Q154" s="34"/>
      <c r="R154" s="34"/>
      <c r="S154" s="34"/>
      <c r="T154" s="34"/>
      <c r="U154" s="34"/>
      <c r="V154" s="34"/>
    </row>
    <row r="155" spans="1:22">
      <c r="A155" s="35"/>
      <c r="B155" s="3"/>
      <c r="C155" s="35"/>
      <c r="D155" s="34"/>
      <c r="E155" s="34"/>
      <c r="F155" s="35"/>
      <c r="G155" s="35"/>
      <c r="H155" s="3"/>
      <c r="I155" s="35"/>
      <c r="J155" s="35" t="str">
        <f>IF(OR(TRIM(E155)="", TRIM(H155)=""), "", IFERROR(IF(OR(VLOOKUP(E155&amp;"|"&amp;H155&amp;"", DB!$A:$N, 6, FALSE)="", VLOOKUP(E155&amp;"|"&amp;H155&amp;"", DB!$A:$N, 6, FALSE)="-"), "", VLOOKUP(E155&amp;"|"&amp;H155&amp;"", DB!$A:$N, 6, FALSE)), ""))</f>
        <v/>
      </c>
      <c r="K155" s="35"/>
      <c r="L155" s="35"/>
      <c r="M155" s="35"/>
      <c r="N155" s="35" t="str">
        <f t="shared" si="2"/>
        <v/>
      </c>
      <c r="O155" s="34"/>
      <c r="P155" s="34"/>
      <c r="Q155" s="34"/>
      <c r="R155" s="34"/>
      <c r="S155" s="34"/>
      <c r="T155" s="34"/>
      <c r="U155" s="34"/>
      <c r="V155" s="34"/>
    </row>
    <row r="156" spans="1:22">
      <c r="A156" s="35"/>
      <c r="B156" s="3"/>
      <c r="C156" s="35"/>
      <c r="D156" s="34"/>
      <c r="E156" s="34"/>
      <c r="F156" s="35"/>
      <c r="G156" s="35"/>
      <c r="H156" s="3"/>
      <c r="I156" s="35"/>
      <c r="J156" s="35" t="str">
        <f>IF(OR(TRIM(E156)="", TRIM(H156)=""), "", IFERROR(IF(OR(VLOOKUP(E156&amp;"|"&amp;H156&amp;"", DB!$A:$N, 6, FALSE)="", VLOOKUP(E156&amp;"|"&amp;H156&amp;"", DB!$A:$N, 6, FALSE)="-"), "", VLOOKUP(E156&amp;"|"&amp;H156&amp;"", DB!$A:$N, 6, FALSE)), ""))</f>
        <v/>
      </c>
      <c r="K156" s="35"/>
      <c r="L156" s="35"/>
      <c r="M156" s="35"/>
      <c r="N156" s="35" t="str">
        <f t="shared" si="2"/>
        <v/>
      </c>
      <c r="O156" s="34"/>
      <c r="P156" s="34"/>
      <c r="Q156" s="34"/>
      <c r="R156" s="34"/>
      <c r="S156" s="34"/>
      <c r="T156" s="34"/>
      <c r="U156" s="34"/>
      <c r="V156" s="34"/>
    </row>
    <row r="157" spans="1:22">
      <c r="A157" s="35"/>
      <c r="B157" s="3"/>
      <c r="C157" s="35"/>
      <c r="D157" s="34"/>
      <c r="E157" s="34"/>
      <c r="F157" s="35"/>
      <c r="G157" s="35"/>
      <c r="H157" s="3"/>
      <c r="I157" s="35"/>
      <c r="J157" s="35" t="str">
        <f>IF(OR(TRIM(E157)="", TRIM(H157)=""), "", IFERROR(IF(OR(VLOOKUP(E157&amp;"|"&amp;H157&amp;"", DB!$A:$N, 6, FALSE)="", VLOOKUP(E157&amp;"|"&amp;H157&amp;"", DB!$A:$N, 6, FALSE)="-"), "", VLOOKUP(E157&amp;"|"&amp;H157&amp;"", DB!$A:$N, 6, FALSE)), ""))</f>
        <v/>
      </c>
      <c r="K157" s="35"/>
      <c r="L157" s="35"/>
      <c r="M157" s="35"/>
      <c r="N157" s="35" t="str">
        <f t="shared" si="2"/>
        <v/>
      </c>
      <c r="O157" s="34"/>
      <c r="P157" s="34"/>
      <c r="Q157" s="34"/>
      <c r="R157" s="34"/>
      <c r="S157" s="34"/>
      <c r="T157" s="34"/>
      <c r="U157" s="34"/>
      <c r="V157" s="34"/>
    </row>
    <row r="158" spans="1:22">
      <c r="A158" s="35"/>
      <c r="B158" s="3"/>
      <c r="C158" s="35"/>
      <c r="D158" s="34"/>
      <c r="E158" s="34"/>
      <c r="F158" s="35"/>
      <c r="G158" s="35"/>
      <c r="H158" s="3"/>
      <c r="I158" s="35"/>
      <c r="J158" s="35" t="str">
        <f>IF(OR(TRIM(E158)="", TRIM(H158)=""), "", IFERROR(IF(OR(VLOOKUP(E158&amp;"|"&amp;H158&amp;"", DB!$A:$N, 6, FALSE)="", VLOOKUP(E158&amp;"|"&amp;H158&amp;"", DB!$A:$N, 6, FALSE)="-"), "", VLOOKUP(E158&amp;"|"&amp;H158&amp;"", DB!$A:$N, 6, FALSE)), ""))</f>
        <v/>
      </c>
      <c r="K158" s="35"/>
      <c r="L158" s="35"/>
      <c r="M158" s="35"/>
      <c r="N158" s="35" t="str">
        <f t="shared" si="2"/>
        <v/>
      </c>
      <c r="O158" s="34"/>
      <c r="P158" s="34"/>
      <c r="Q158" s="34"/>
      <c r="R158" s="34"/>
      <c r="S158" s="34"/>
      <c r="T158" s="34"/>
      <c r="U158" s="34"/>
      <c r="V158" s="34"/>
    </row>
    <row r="159" spans="1:22">
      <c r="A159" s="35"/>
      <c r="B159" s="3"/>
      <c r="C159" s="35"/>
      <c r="D159" s="34"/>
      <c r="E159" s="34"/>
      <c r="F159" s="35"/>
      <c r="G159" s="35"/>
      <c r="H159" s="3"/>
      <c r="I159" s="35"/>
      <c r="J159" s="35" t="str">
        <f>IF(OR(TRIM(E159)="", TRIM(H159)=""), "", IFERROR(IF(OR(VLOOKUP(E159&amp;"|"&amp;H159&amp;"", DB!$A:$N, 6, FALSE)="", VLOOKUP(E159&amp;"|"&amp;H159&amp;"", DB!$A:$N, 6, FALSE)="-"), "", VLOOKUP(E159&amp;"|"&amp;H159&amp;"", DB!$A:$N, 6, FALSE)), ""))</f>
        <v/>
      </c>
      <c r="K159" s="35"/>
      <c r="L159" s="35"/>
      <c r="M159" s="35"/>
      <c r="N159" s="35" t="str">
        <f t="shared" si="2"/>
        <v/>
      </c>
      <c r="O159" s="34"/>
      <c r="P159" s="34"/>
      <c r="Q159" s="34"/>
      <c r="R159" s="34"/>
      <c r="S159" s="34"/>
      <c r="T159" s="34"/>
      <c r="U159" s="34"/>
      <c r="V159" s="34"/>
    </row>
    <row r="160" spans="1:22">
      <c r="A160" s="35"/>
      <c r="B160" s="3"/>
      <c r="C160" s="35"/>
      <c r="D160" s="34"/>
      <c r="E160" s="34"/>
      <c r="F160" s="35"/>
      <c r="G160" s="35"/>
      <c r="H160" s="3"/>
      <c r="I160" s="35"/>
      <c r="J160" s="35" t="str">
        <f>IF(OR(TRIM(E160)="", TRIM(H160)=""), "", IFERROR(IF(OR(VLOOKUP(E160&amp;"|"&amp;H160&amp;"", DB!$A:$N, 6, FALSE)="", VLOOKUP(E160&amp;"|"&amp;H160&amp;"", DB!$A:$N, 6, FALSE)="-"), "", VLOOKUP(E160&amp;"|"&amp;H160&amp;"", DB!$A:$N, 6, FALSE)), ""))</f>
        <v/>
      </c>
      <c r="K160" s="35"/>
      <c r="L160" s="35"/>
      <c r="M160" s="35"/>
      <c r="N160" s="35" t="str">
        <f t="shared" si="2"/>
        <v/>
      </c>
      <c r="O160" s="34"/>
      <c r="P160" s="34"/>
      <c r="Q160" s="34"/>
      <c r="R160" s="34"/>
      <c r="S160" s="34"/>
      <c r="T160" s="34"/>
      <c r="U160" s="34"/>
      <c r="V160" s="34"/>
    </row>
    <row r="161" spans="1:22">
      <c r="A161" s="35"/>
      <c r="B161" s="3"/>
      <c r="C161" s="35"/>
      <c r="D161" s="34"/>
      <c r="E161" s="34"/>
      <c r="F161" s="35"/>
      <c r="G161" s="35"/>
      <c r="H161" s="3"/>
      <c r="I161" s="35"/>
      <c r="J161" s="35" t="str">
        <f>IF(OR(TRIM(E161)="", TRIM(H161)=""), "", IFERROR(IF(OR(VLOOKUP(E161&amp;"|"&amp;H161&amp;"", DB!$A:$N, 6, FALSE)="", VLOOKUP(E161&amp;"|"&amp;H161&amp;"", DB!$A:$N, 6, FALSE)="-"), "", VLOOKUP(E161&amp;"|"&amp;H161&amp;"", DB!$A:$N, 6, FALSE)), ""))</f>
        <v/>
      </c>
      <c r="K161" s="35"/>
      <c r="L161" s="35"/>
      <c r="M161" s="35"/>
      <c r="N161" s="35" t="str">
        <f t="shared" si="2"/>
        <v/>
      </c>
      <c r="O161" s="34"/>
      <c r="P161" s="34"/>
      <c r="Q161" s="34"/>
      <c r="R161" s="34"/>
      <c r="S161" s="34"/>
      <c r="T161" s="34"/>
      <c r="U161" s="34"/>
      <c r="V161" s="34"/>
    </row>
    <row r="162" spans="1:22">
      <c r="A162" s="35"/>
      <c r="B162" s="3"/>
      <c r="C162" s="35"/>
      <c r="D162" s="34"/>
      <c r="E162" s="34"/>
      <c r="F162" s="35"/>
      <c r="G162" s="35"/>
      <c r="H162" s="3"/>
      <c r="I162" s="35"/>
      <c r="J162" s="35" t="str">
        <f>IF(OR(TRIM(E162)="", TRIM(H162)=""), "", IFERROR(IF(OR(VLOOKUP(E162&amp;"|"&amp;H162&amp;"", DB!$A:$N, 6, FALSE)="", VLOOKUP(E162&amp;"|"&amp;H162&amp;"", DB!$A:$N, 6, FALSE)="-"), "", VLOOKUP(E162&amp;"|"&amp;H162&amp;"", DB!$A:$N, 6, FALSE)), ""))</f>
        <v/>
      </c>
      <c r="K162" s="35"/>
      <c r="L162" s="35"/>
      <c r="M162" s="35"/>
      <c r="N162" s="35" t="str">
        <f t="shared" si="2"/>
        <v/>
      </c>
      <c r="O162" s="34"/>
      <c r="P162" s="34"/>
      <c r="Q162" s="34"/>
      <c r="R162" s="34"/>
      <c r="S162" s="34"/>
      <c r="T162" s="34"/>
      <c r="U162" s="34"/>
      <c r="V162" s="34"/>
    </row>
    <row r="163" spans="1:22">
      <c r="A163" s="35"/>
      <c r="B163" s="3"/>
      <c r="C163" s="35"/>
      <c r="D163" s="34"/>
      <c r="E163" s="34"/>
      <c r="F163" s="35"/>
      <c r="G163" s="35"/>
      <c r="H163" s="3"/>
      <c r="I163" s="35"/>
      <c r="J163" s="35" t="str">
        <f>IF(OR(TRIM(E163)="", TRIM(H163)=""), "", IFERROR(IF(OR(VLOOKUP(E163&amp;"|"&amp;H163&amp;"", DB!$A:$N, 6, FALSE)="", VLOOKUP(E163&amp;"|"&amp;H163&amp;"", DB!$A:$N, 6, FALSE)="-"), "", VLOOKUP(E163&amp;"|"&amp;H163&amp;"", DB!$A:$N, 6, FALSE)), ""))</f>
        <v/>
      </c>
      <c r="K163" s="35"/>
      <c r="L163" s="35"/>
      <c r="M163" s="35"/>
      <c r="N163" s="35" t="str">
        <f t="shared" si="2"/>
        <v/>
      </c>
      <c r="O163" s="34"/>
      <c r="P163" s="34"/>
      <c r="Q163" s="34"/>
      <c r="R163" s="34"/>
      <c r="S163" s="34"/>
      <c r="T163" s="34"/>
      <c r="U163" s="34"/>
      <c r="V163" s="34"/>
    </row>
    <row r="164" spans="1:22">
      <c r="A164" s="35"/>
      <c r="B164" s="3"/>
      <c r="C164" s="35"/>
      <c r="D164" s="34"/>
      <c r="E164" s="34"/>
      <c r="F164" s="35"/>
      <c r="G164" s="35"/>
      <c r="H164" s="3"/>
      <c r="I164" s="35"/>
      <c r="J164" s="35" t="str">
        <f>IF(OR(TRIM(E164)="", TRIM(H164)=""), "", IFERROR(IF(OR(VLOOKUP(E164&amp;"|"&amp;H164&amp;"", DB!$A:$N, 6, FALSE)="", VLOOKUP(E164&amp;"|"&amp;H164&amp;"", DB!$A:$N, 6, FALSE)="-"), "", VLOOKUP(E164&amp;"|"&amp;H164&amp;"", DB!$A:$N, 6, FALSE)), ""))</f>
        <v/>
      </c>
      <c r="K164" s="35"/>
      <c r="L164" s="35"/>
      <c r="M164" s="35"/>
      <c r="N164" s="35" t="str">
        <f t="shared" si="2"/>
        <v/>
      </c>
      <c r="O164" s="34"/>
      <c r="P164" s="34"/>
      <c r="Q164" s="34"/>
      <c r="R164" s="34"/>
      <c r="S164" s="34"/>
      <c r="T164" s="34"/>
      <c r="U164" s="34"/>
      <c r="V164" s="34"/>
    </row>
    <row r="165" spans="1:22">
      <c r="A165" s="35"/>
      <c r="B165" s="3"/>
      <c r="C165" s="35"/>
      <c r="D165" s="34"/>
      <c r="E165" s="34"/>
      <c r="F165" s="35"/>
      <c r="G165" s="35"/>
      <c r="H165" s="3"/>
      <c r="I165" s="35"/>
      <c r="J165" s="35" t="str">
        <f>IF(OR(TRIM(E165)="", TRIM(H165)=""), "", IFERROR(IF(OR(VLOOKUP(E165&amp;"|"&amp;H165&amp;"", DB!$A:$N, 6, FALSE)="", VLOOKUP(E165&amp;"|"&amp;H165&amp;"", DB!$A:$N, 6, FALSE)="-"), "", VLOOKUP(E165&amp;"|"&amp;H165&amp;"", DB!$A:$N, 6, FALSE)), ""))</f>
        <v/>
      </c>
      <c r="K165" s="35"/>
      <c r="L165" s="35"/>
      <c r="M165" s="35"/>
      <c r="N165" s="35" t="str">
        <f t="shared" si="2"/>
        <v/>
      </c>
      <c r="O165" s="34"/>
      <c r="P165" s="34"/>
      <c r="Q165" s="34"/>
      <c r="R165" s="34"/>
      <c r="S165" s="34"/>
      <c r="T165" s="34"/>
      <c r="U165" s="34"/>
      <c r="V165" s="34"/>
    </row>
    <row r="166" spans="1:22">
      <c r="A166" s="35"/>
      <c r="B166" s="3"/>
      <c r="C166" s="35"/>
      <c r="D166" s="34"/>
      <c r="E166" s="34"/>
      <c r="F166" s="35"/>
      <c r="G166" s="35"/>
      <c r="H166" s="3"/>
      <c r="I166" s="35"/>
      <c r="J166" s="35" t="str">
        <f>IF(OR(TRIM(E166)="", TRIM(H166)=""), "", IFERROR(IF(OR(VLOOKUP(E166&amp;"|"&amp;H166&amp;"", DB!$A:$N, 6, FALSE)="", VLOOKUP(E166&amp;"|"&amp;H166&amp;"", DB!$A:$N, 6, FALSE)="-"), "", VLOOKUP(E166&amp;"|"&amp;H166&amp;"", DB!$A:$N, 6, FALSE)), ""))</f>
        <v/>
      </c>
      <c r="K166" s="35"/>
      <c r="L166" s="35"/>
      <c r="M166" s="35"/>
      <c r="N166" s="35" t="str">
        <f t="shared" si="2"/>
        <v/>
      </c>
      <c r="O166" s="34"/>
      <c r="P166" s="34"/>
      <c r="Q166" s="34"/>
      <c r="R166" s="34"/>
      <c r="S166" s="34"/>
      <c r="T166" s="34"/>
      <c r="U166" s="34"/>
      <c r="V166" s="34"/>
    </row>
    <row r="167" spans="1:22">
      <c r="A167" s="35"/>
      <c r="B167" s="3"/>
      <c r="C167" s="35"/>
      <c r="D167" s="34"/>
      <c r="E167" s="34"/>
      <c r="F167" s="35"/>
      <c r="G167" s="35"/>
      <c r="H167" s="3"/>
      <c r="I167" s="35"/>
      <c r="J167" s="35" t="str">
        <f>IF(OR(TRIM(E167)="", TRIM(H167)=""), "", IFERROR(IF(OR(VLOOKUP(E167&amp;"|"&amp;H167&amp;"", DB!$A:$N, 6, FALSE)="", VLOOKUP(E167&amp;"|"&amp;H167&amp;"", DB!$A:$N, 6, FALSE)="-"), "", VLOOKUP(E167&amp;"|"&amp;H167&amp;"", DB!$A:$N, 6, FALSE)), ""))</f>
        <v/>
      </c>
      <c r="K167" s="35"/>
      <c r="L167" s="35"/>
      <c r="M167" s="35"/>
      <c r="N167" s="35" t="str">
        <f t="shared" si="2"/>
        <v/>
      </c>
      <c r="O167" s="34"/>
      <c r="P167" s="34"/>
      <c r="Q167" s="34"/>
      <c r="R167" s="34"/>
      <c r="S167" s="34"/>
      <c r="T167" s="34"/>
      <c r="U167" s="34"/>
      <c r="V167" s="34"/>
    </row>
    <row r="168" spans="1:22">
      <c r="A168" s="35"/>
      <c r="B168" s="3"/>
      <c r="C168" s="35"/>
      <c r="D168" s="34"/>
      <c r="E168" s="34"/>
      <c r="F168" s="35"/>
      <c r="G168" s="35"/>
      <c r="H168" s="3"/>
      <c r="I168" s="35"/>
      <c r="J168" s="35" t="str">
        <f>IF(OR(TRIM(E168)="", TRIM(H168)=""), "", IFERROR(IF(OR(VLOOKUP(E168&amp;"|"&amp;H168&amp;"", DB!$A:$N, 6, FALSE)="", VLOOKUP(E168&amp;"|"&amp;H168&amp;"", DB!$A:$N, 6, FALSE)="-"), "", VLOOKUP(E168&amp;"|"&amp;H168&amp;"", DB!$A:$N, 6, FALSE)), ""))</f>
        <v/>
      </c>
      <c r="K168" s="35"/>
      <c r="L168" s="35"/>
      <c r="M168" s="35"/>
      <c r="N168" s="35" t="str">
        <f t="shared" si="2"/>
        <v/>
      </c>
      <c r="O168" s="34"/>
      <c r="P168" s="34"/>
      <c r="Q168" s="34"/>
      <c r="R168" s="34"/>
      <c r="S168" s="34"/>
      <c r="T168" s="34"/>
      <c r="U168" s="34"/>
      <c r="V168" s="34"/>
    </row>
    <row r="169" spans="1:22">
      <c r="A169" s="35"/>
      <c r="B169" s="3"/>
      <c r="C169" s="35"/>
      <c r="D169" s="34"/>
      <c r="E169" s="34"/>
      <c r="F169" s="35"/>
      <c r="G169" s="35"/>
      <c r="H169" s="3"/>
      <c r="I169" s="35"/>
      <c r="J169" s="35" t="str">
        <f>IF(OR(TRIM(E169)="", TRIM(H169)=""), "", IFERROR(IF(OR(VLOOKUP(E169&amp;"|"&amp;H169&amp;"", DB!$A:$N, 6, FALSE)="", VLOOKUP(E169&amp;"|"&amp;H169&amp;"", DB!$A:$N, 6, FALSE)="-"), "", VLOOKUP(E169&amp;"|"&amp;H169&amp;"", DB!$A:$N, 6, FALSE)), ""))</f>
        <v/>
      </c>
      <c r="K169" s="35"/>
      <c r="L169" s="35"/>
      <c r="M169" s="35"/>
      <c r="N169" s="35" t="str">
        <f t="shared" si="2"/>
        <v/>
      </c>
      <c r="O169" s="34"/>
      <c r="P169" s="34"/>
      <c r="Q169" s="34"/>
      <c r="R169" s="34"/>
      <c r="S169" s="34"/>
      <c r="T169" s="34"/>
      <c r="U169" s="34"/>
      <c r="V169" s="34"/>
    </row>
    <row r="170" spans="1:22">
      <c r="A170" s="35"/>
      <c r="B170" s="3"/>
      <c r="C170" s="35"/>
      <c r="D170" s="34"/>
      <c r="E170" s="34"/>
      <c r="F170" s="35"/>
      <c r="G170" s="35"/>
      <c r="H170" s="3"/>
      <c r="I170" s="35"/>
      <c r="J170" s="35" t="str">
        <f>IF(OR(TRIM(E170)="", TRIM(H170)=""), "", IFERROR(IF(OR(VLOOKUP(E170&amp;"|"&amp;H170&amp;"", DB!$A:$N, 6, FALSE)="", VLOOKUP(E170&amp;"|"&amp;H170&amp;"", DB!$A:$N, 6, FALSE)="-"), "", VLOOKUP(E170&amp;"|"&amp;H170&amp;"", DB!$A:$N, 6, FALSE)), ""))</f>
        <v/>
      </c>
      <c r="K170" s="35"/>
      <c r="L170" s="35"/>
      <c r="M170" s="35"/>
      <c r="N170" s="35" t="str">
        <f t="shared" si="2"/>
        <v/>
      </c>
      <c r="O170" s="34"/>
      <c r="P170" s="34"/>
      <c r="Q170" s="34"/>
      <c r="R170" s="34"/>
      <c r="S170" s="34"/>
      <c r="T170" s="34"/>
      <c r="U170" s="34"/>
      <c r="V170" s="34"/>
    </row>
    <row r="171" spans="1:22">
      <c r="A171" s="35"/>
      <c r="B171" s="3"/>
      <c r="C171" s="35"/>
      <c r="D171" s="34"/>
      <c r="E171" s="34"/>
      <c r="F171" s="35"/>
      <c r="G171" s="35"/>
      <c r="H171" s="3"/>
      <c r="I171" s="35"/>
      <c r="J171" s="35" t="str">
        <f>IF(OR(TRIM(E171)="", TRIM(H171)=""), "", IFERROR(IF(OR(VLOOKUP(E171&amp;"|"&amp;H171&amp;"", DB!$A:$N, 6, FALSE)="", VLOOKUP(E171&amp;"|"&amp;H171&amp;"", DB!$A:$N, 6, FALSE)="-"), "", VLOOKUP(E171&amp;"|"&amp;H171&amp;"", DB!$A:$N, 6, FALSE)), ""))</f>
        <v/>
      </c>
      <c r="K171" s="35"/>
      <c r="L171" s="35"/>
      <c r="M171" s="35"/>
      <c r="N171" s="35" t="str">
        <f t="shared" si="2"/>
        <v/>
      </c>
      <c r="O171" s="34"/>
      <c r="P171" s="34"/>
      <c r="Q171" s="34"/>
      <c r="R171" s="34"/>
      <c r="S171" s="34"/>
      <c r="T171" s="34"/>
      <c r="U171" s="34"/>
      <c r="V171" s="34"/>
    </row>
    <row r="172" spans="1:22">
      <c r="A172" s="35"/>
      <c r="B172" s="3"/>
      <c r="C172" s="35"/>
      <c r="D172" s="34"/>
      <c r="E172" s="34"/>
      <c r="F172" s="35"/>
      <c r="G172" s="35"/>
      <c r="H172" s="3"/>
      <c r="I172" s="35"/>
      <c r="J172" s="35" t="str">
        <f>IF(OR(TRIM(E172)="", TRIM(H172)=""), "", IFERROR(IF(OR(VLOOKUP(E172&amp;"|"&amp;H172&amp;"", DB!$A:$N, 6, FALSE)="", VLOOKUP(E172&amp;"|"&amp;H172&amp;"", DB!$A:$N, 6, FALSE)="-"), "", VLOOKUP(E172&amp;"|"&amp;H172&amp;"", DB!$A:$N, 6, FALSE)), ""))</f>
        <v/>
      </c>
      <c r="K172" s="35"/>
      <c r="L172" s="35"/>
      <c r="M172" s="35"/>
      <c r="N172" s="35" t="str">
        <f t="shared" si="2"/>
        <v/>
      </c>
      <c r="O172" s="34"/>
      <c r="P172" s="34"/>
      <c r="Q172" s="34"/>
      <c r="R172" s="34"/>
      <c r="S172" s="34"/>
      <c r="T172" s="34"/>
      <c r="U172" s="34"/>
      <c r="V172" s="34"/>
    </row>
    <row r="173" spans="1:22">
      <c r="A173" s="35"/>
      <c r="B173" s="3"/>
      <c r="C173" s="35"/>
      <c r="D173" s="34"/>
      <c r="E173" s="34"/>
      <c r="F173" s="35"/>
      <c r="G173" s="35"/>
      <c r="H173" s="3"/>
      <c r="I173" s="35"/>
      <c r="J173" s="35" t="str">
        <f>IF(OR(TRIM(E173)="", TRIM(H173)=""), "", IFERROR(IF(OR(VLOOKUP(E173&amp;"|"&amp;H173&amp;"", DB!$A:$N, 6, FALSE)="", VLOOKUP(E173&amp;"|"&amp;H173&amp;"", DB!$A:$N, 6, FALSE)="-"), "", VLOOKUP(E173&amp;"|"&amp;H173&amp;"", DB!$A:$N, 6, FALSE)), ""))</f>
        <v/>
      </c>
      <c r="K173" s="35"/>
      <c r="L173" s="35"/>
      <c r="M173" s="35"/>
      <c r="N173" s="35" t="str">
        <f t="shared" si="2"/>
        <v/>
      </c>
      <c r="O173" s="34"/>
      <c r="P173" s="34"/>
      <c r="Q173" s="34"/>
      <c r="R173" s="34"/>
      <c r="S173" s="34"/>
      <c r="T173" s="34"/>
      <c r="U173" s="34"/>
      <c r="V173" s="34"/>
    </row>
    <row r="174" spans="1:22">
      <c r="A174" s="35"/>
      <c r="B174" s="3"/>
      <c r="C174" s="35"/>
      <c r="D174" s="34"/>
      <c r="E174" s="34"/>
      <c r="F174" s="35"/>
      <c r="G174" s="35"/>
      <c r="H174" s="3"/>
      <c r="I174" s="35"/>
      <c r="J174" s="35" t="str">
        <f>IF(OR(TRIM(E174)="", TRIM(H174)=""), "", IFERROR(IF(OR(VLOOKUP(E174&amp;"|"&amp;H174&amp;"", DB!$A:$N, 6, FALSE)="", VLOOKUP(E174&amp;"|"&amp;H174&amp;"", DB!$A:$N, 6, FALSE)="-"), "", VLOOKUP(E174&amp;"|"&amp;H174&amp;"", DB!$A:$N, 6, FALSE)), ""))</f>
        <v/>
      </c>
      <c r="K174" s="35"/>
      <c r="L174" s="35"/>
      <c r="M174" s="35"/>
      <c r="N174" s="35" t="str">
        <f t="shared" si="2"/>
        <v/>
      </c>
      <c r="O174" s="34"/>
      <c r="P174" s="34"/>
      <c r="Q174" s="34"/>
      <c r="R174" s="34"/>
      <c r="S174" s="34"/>
      <c r="T174" s="34"/>
      <c r="U174" s="34"/>
      <c r="V174" s="34"/>
    </row>
    <row r="175" spans="1:22">
      <c r="A175" s="35"/>
      <c r="B175" s="3"/>
      <c r="C175" s="35"/>
      <c r="D175" s="34"/>
      <c r="E175" s="34"/>
      <c r="F175" s="35"/>
      <c r="G175" s="35"/>
      <c r="H175" s="3"/>
      <c r="I175" s="35"/>
      <c r="J175" s="35" t="str">
        <f>IF(OR(TRIM(E175)="", TRIM(H175)=""), "", IFERROR(IF(OR(VLOOKUP(E175&amp;"|"&amp;H175&amp;"", DB!$A:$N, 6, FALSE)="", VLOOKUP(E175&amp;"|"&amp;H175&amp;"", DB!$A:$N, 6, FALSE)="-"), "", VLOOKUP(E175&amp;"|"&amp;H175&amp;"", DB!$A:$N, 6, FALSE)), ""))</f>
        <v/>
      </c>
      <c r="K175" s="35"/>
      <c r="L175" s="35"/>
      <c r="M175" s="35"/>
      <c r="N175" s="35" t="str">
        <f t="shared" si="2"/>
        <v/>
      </c>
      <c r="O175" s="34"/>
      <c r="P175" s="34"/>
      <c r="Q175" s="34"/>
      <c r="R175" s="34"/>
      <c r="S175" s="34"/>
      <c r="T175" s="34"/>
      <c r="U175" s="34"/>
      <c r="V175" s="34"/>
    </row>
    <row r="176" spans="1:22">
      <c r="A176" s="35"/>
      <c r="B176" s="3"/>
      <c r="C176" s="35"/>
      <c r="D176" s="34"/>
      <c r="E176" s="34"/>
      <c r="F176" s="35"/>
      <c r="G176" s="35"/>
      <c r="H176" s="3"/>
      <c r="I176" s="35"/>
      <c r="J176" s="35" t="str">
        <f>IF(OR(TRIM(E176)="", TRIM(H176)=""), "", IFERROR(IF(OR(VLOOKUP(E176&amp;"|"&amp;H176&amp;"", DB!$A:$N, 6, FALSE)="", VLOOKUP(E176&amp;"|"&amp;H176&amp;"", DB!$A:$N, 6, FALSE)="-"), "", VLOOKUP(E176&amp;"|"&amp;H176&amp;"", DB!$A:$N, 6, FALSE)), ""))</f>
        <v/>
      </c>
      <c r="K176" s="35"/>
      <c r="L176" s="35"/>
      <c r="M176" s="35"/>
      <c r="N176" s="35" t="str">
        <f t="shared" si="2"/>
        <v/>
      </c>
      <c r="O176" s="34"/>
      <c r="P176" s="34"/>
      <c r="Q176" s="34"/>
      <c r="R176" s="34"/>
      <c r="S176" s="34"/>
      <c r="T176" s="34"/>
      <c r="U176" s="34"/>
      <c r="V176" s="34"/>
    </row>
    <row r="177" spans="1:22">
      <c r="A177" s="35"/>
      <c r="B177" s="3"/>
      <c r="C177" s="35"/>
      <c r="D177" s="34"/>
      <c r="E177" s="34"/>
      <c r="F177" s="35"/>
      <c r="G177" s="35"/>
      <c r="H177" s="3"/>
      <c r="I177" s="35"/>
      <c r="J177" s="35" t="str">
        <f>IF(OR(TRIM(E177)="", TRIM(H177)=""), "", IFERROR(IF(OR(VLOOKUP(E177&amp;"|"&amp;H177&amp;"", DB!$A:$N, 6, FALSE)="", VLOOKUP(E177&amp;"|"&amp;H177&amp;"", DB!$A:$N, 6, FALSE)="-"), "", VLOOKUP(E177&amp;"|"&amp;H177&amp;"", DB!$A:$N, 6, FALSE)), ""))</f>
        <v/>
      </c>
      <c r="K177" s="35"/>
      <c r="L177" s="35"/>
      <c r="M177" s="35"/>
      <c r="N177" s="35" t="str">
        <f t="shared" si="2"/>
        <v/>
      </c>
      <c r="O177" s="34"/>
      <c r="P177" s="34"/>
      <c r="Q177" s="34"/>
      <c r="R177" s="34"/>
      <c r="S177" s="34"/>
      <c r="T177" s="34"/>
      <c r="U177" s="34"/>
      <c r="V177" s="34"/>
    </row>
    <row r="178" spans="1:22">
      <c r="A178" s="35"/>
      <c r="B178" s="3"/>
      <c r="C178" s="35"/>
      <c r="D178" s="34"/>
      <c r="E178" s="34"/>
      <c r="F178" s="35"/>
      <c r="G178" s="35"/>
      <c r="H178" s="3"/>
      <c r="I178" s="35"/>
      <c r="J178" s="35" t="str">
        <f>IF(OR(TRIM(E178)="", TRIM(H178)=""), "", IFERROR(IF(OR(VLOOKUP(E178&amp;"|"&amp;H178&amp;"", DB!$A:$N, 6, FALSE)="", VLOOKUP(E178&amp;"|"&amp;H178&amp;"", DB!$A:$N, 6, FALSE)="-"), "", VLOOKUP(E178&amp;"|"&amp;H178&amp;"", DB!$A:$N, 6, FALSE)), ""))</f>
        <v/>
      </c>
      <c r="K178" s="35"/>
      <c r="L178" s="35"/>
      <c r="M178" s="35"/>
      <c r="N178" s="35" t="str">
        <f t="shared" si="2"/>
        <v/>
      </c>
      <c r="O178" s="34"/>
      <c r="P178" s="34"/>
      <c r="Q178" s="34"/>
      <c r="R178" s="34"/>
      <c r="S178" s="34"/>
      <c r="T178" s="34"/>
      <c r="U178" s="34"/>
      <c r="V178" s="34"/>
    </row>
    <row r="179" spans="1:22">
      <c r="A179" s="35"/>
      <c r="B179" s="3"/>
      <c r="C179" s="35"/>
      <c r="D179" s="34"/>
      <c r="E179" s="34"/>
      <c r="F179" s="35"/>
      <c r="G179" s="35"/>
      <c r="H179" s="3"/>
      <c r="I179" s="35"/>
      <c r="J179" s="35" t="str">
        <f>IF(OR(TRIM(E179)="", TRIM(H179)=""), "", IFERROR(IF(OR(VLOOKUP(E179&amp;"|"&amp;H179&amp;"", DB!$A:$N, 6, FALSE)="", VLOOKUP(E179&amp;"|"&amp;H179&amp;"", DB!$A:$N, 6, FALSE)="-"), "", VLOOKUP(E179&amp;"|"&amp;H179&amp;"", DB!$A:$N, 6, FALSE)), ""))</f>
        <v/>
      </c>
      <c r="K179" s="35"/>
      <c r="L179" s="35"/>
      <c r="M179" s="35"/>
      <c r="N179" s="35" t="str">
        <f t="shared" si="2"/>
        <v/>
      </c>
      <c r="O179" s="34"/>
      <c r="P179" s="34"/>
      <c r="Q179" s="34"/>
      <c r="R179" s="34"/>
      <c r="S179" s="34"/>
      <c r="T179" s="34"/>
      <c r="U179" s="34"/>
      <c r="V179" s="34"/>
    </row>
    <row r="180" spans="1:22">
      <c r="A180" s="35"/>
      <c r="B180" s="3"/>
      <c r="C180" s="35"/>
      <c r="D180" s="34"/>
      <c r="E180" s="34"/>
      <c r="F180" s="35"/>
      <c r="G180" s="35"/>
      <c r="H180" s="3"/>
      <c r="I180" s="35"/>
      <c r="J180" s="35" t="str">
        <f>IF(OR(TRIM(E180)="", TRIM(H180)=""), "", IFERROR(IF(OR(VLOOKUP(E180&amp;"|"&amp;H180&amp;"", DB!$A:$N, 6, FALSE)="", VLOOKUP(E180&amp;"|"&amp;H180&amp;"", DB!$A:$N, 6, FALSE)="-"), "", VLOOKUP(E180&amp;"|"&amp;H180&amp;"", DB!$A:$N, 6, FALSE)), ""))</f>
        <v/>
      </c>
      <c r="K180" s="35"/>
      <c r="L180" s="35"/>
      <c r="M180" s="35"/>
      <c r="N180" s="35" t="str">
        <f t="shared" si="2"/>
        <v/>
      </c>
      <c r="O180" s="34"/>
      <c r="P180" s="34"/>
      <c r="Q180" s="34"/>
      <c r="R180" s="34"/>
      <c r="S180" s="34"/>
      <c r="T180" s="34"/>
      <c r="U180" s="34"/>
      <c r="V180" s="34"/>
    </row>
    <row r="181" spans="1:22">
      <c r="A181" s="35"/>
      <c r="B181" s="3"/>
      <c r="C181" s="35"/>
      <c r="D181" s="34"/>
      <c r="E181" s="34"/>
      <c r="F181" s="35"/>
      <c r="G181" s="35"/>
      <c r="H181" s="3"/>
      <c r="I181" s="35"/>
      <c r="J181" s="35" t="str">
        <f>IF(OR(TRIM(E181)="", TRIM(H181)=""), "", IFERROR(IF(OR(VLOOKUP(E181&amp;"|"&amp;H181&amp;"", DB!$A:$N, 6, FALSE)="", VLOOKUP(E181&amp;"|"&amp;H181&amp;"", DB!$A:$N, 6, FALSE)="-"), "", VLOOKUP(E181&amp;"|"&amp;H181&amp;"", DB!$A:$N, 6, FALSE)), ""))</f>
        <v/>
      </c>
      <c r="K181" s="35"/>
      <c r="L181" s="35"/>
      <c r="M181" s="35"/>
      <c r="N181" s="35" t="str">
        <f t="shared" si="2"/>
        <v/>
      </c>
      <c r="O181" s="34"/>
      <c r="P181" s="34"/>
      <c r="Q181" s="34"/>
      <c r="R181" s="34"/>
      <c r="S181" s="34"/>
      <c r="T181" s="34"/>
      <c r="U181" s="34"/>
      <c r="V181" s="34"/>
    </row>
    <row r="182" spans="1:22">
      <c r="A182" s="35"/>
      <c r="B182" s="3"/>
      <c r="C182" s="35"/>
      <c r="D182" s="34"/>
      <c r="E182" s="34"/>
      <c r="F182" s="35"/>
      <c r="G182" s="35"/>
      <c r="H182" s="3"/>
      <c r="I182" s="35"/>
      <c r="J182" s="35" t="str">
        <f>IF(OR(TRIM(E182)="", TRIM(H182)=""), "", IFERROR(IF(OR(VLOOKUP(E182&amp;"|"&amp;H182&amp;"", DB!$A:$N, 6, FALSE)="", VLOOKUP(E182&amp;"|"&amp;H182&amp;"", DB!$A:$N, 6, FALSE)="-"), "", VLOOKUP(E182&amp;"|"&amp;H182&amp;"", DB!$A:$N, 6, FALSE)), ""))</f>
        <v/>
      </c>
      <c r="K182" s="35"/>
      <c r="L182" s="35"/>
      <c r="M182" s="35"/>
      <c r="N182" s="35" t="str">
        <f t="shared" si="2"/>
        <v/>
      </c>
      <c r="O182" s="34"/>
      <c r="P182" s="34"/>
      <c r="Q182" s="34"/>
      <c r="R182" s="34"/>
      <c r="S182" s="34"/>
      <c r="T182" s="34"/>
      <c r="U182" s="34"/>
      <c r="V182" s="34"/>
    </row>
    <row r="183" spans="1:22">
      <c r="A183" s="35"/>
      <c r="B183" s="3"/>
      <c r="C183" s="35"/>
      <c r="D183" s="34"/>
      <c r="E183" s="34"/>
      <c r="F183" s="35"/>
      <c r="G183" s="35"/>
      <c r="H183" s="3"/>
      <c r="I183" s="35"/>
      <c r="J183" s="35" t="str">
        <f>IF(OR(TRIM(E183)="", TRIM(H183)=""), "", IFERROR(IF(OR(VLOOKUP(E183&amp;"|"&amp;H183&amp;"", DB!$A:$N, 6, FALSE)="", VLOOKUP(E183&amp;"|"&amp;H183&amp;"", DB!$A:$N, 6, FALSE)="-"), "", VLOOKUP(E183&amp;"|"&amp;H183&amp;"", DB!$A:$N, 6, FALSE)), ""))</f>
        <v/>
      </c>
      <c r="K183" s="35"/>
      <c r="L183" s="35"/>
      <c r="M183" s="35"/>
      <c r="N183" s="35" t="str">
        <f t="shared" si="2"/>
        <v/>
      </c>
      <c r="O183" s="34"/>
      <c r="P183" s="34"/>
      <c r="Q183" s="34"/>
      <c r="R183" s="34"/>
      <c r="S183" s="34"/>
      <c r="T183" s="34"/>
      <c r="U183" s="34"/>
      <c r="V183" s="34"/>
    </row>
    <row r="184" spans="1:22">
      <c r="A184" s="35"/>
      <c r="B184" s="3"/>
      <c r="C184" s="35"/>
      <c r="D184" s="34"/>
      <c r="E184" s="34"/>
      <c r="F184" s="35"/>
      <c r="G184" s="35"/>
      <c r="H184" s="3"/>
      <c r="I184" s="35"/>
      <c r="J184" s="35" t="str">
        <f>IF(OR(TRIM(E184)="", TRIM(H184)=""), "", IFERROR(IF(OR(VLOOKUP(E184&amp;"|"&amp;H184&amp;"", DB!$A:$N, 6, FALSE)="", VLOOKUP(E184&amp;"|"&amp;H184&amp;"", DB!$A:$N, 6, FALSE)="-"), "", VLOOKUP(E184&amp;"|"&amp;H184&amp;"", DB!$A:$N, 6, FALSE)), ""))</f>
        <v/>
      </c>
      <c r="K184" s="35"/>
      <c r="L184" s="35"/>
      <c r="M184" s="35"/>
      <c r="N184" s="35" t="str">
        <f t="shared" si="2"/>
        <v/>
      </c>
      <c r="O184" s="34"/>
      <c r="P184" s="34"/>
      <c r="Q184" s="34"/>
      <c r="R184" s="34"/>
      <c r="S184" s="34"/>
      <c r="T184" s="34"/>
      <c r="U184" s="34"/>
      <c r="V184" s="34"/>
    </row>
    <row r="185" spans="1:22">
      <c r="A185" s="35"/>
      <c r="B185" s="3"/>
      <c r="C185" s="35"/>
      <c r="D185" s="34"/>
      <c r="E185" s="34"/>
      <c r="F185" s="35"/>
      <c r="G185" s="35"/>
      <c r="H185" s="3"/>
      <c r="I185" s="35"/>
      <c r="J185" s="35" t="str">
        <f>IF(OR(TRIM(E185)="", TRIM(H185)=""), "", IFERROR(IF(OR(VLOOKUP(E185&amp;"|"&amp;H185&amp;"", DB!$A:$N, 6, FALSE)="", VLOOKUP(E185&amp;"|"&amp;H185&amp;"", DB!$A:$N, 6, FALSE)="-"), "", VLOOKUP(E185&amp;"|"&amp;H185&amp;"", DB!$A:$N, 6, FALSE)), ""))</f>
        <v/>
      </c>
      <c r="K185" s="35"/>
      <c r="L185" s="35"/>
      <c r="M185" s="35"/>
      <c r="N185" s="35" t="str">
        <f t="shared" si="2"/>
        <v/>
      </c>
      <c r="O185" s="34"/>
      <c r="P185" s="34"/>
      <c r="Q185" s="34"/>
      <c r="R185" s="34"/>
      <c r="S185" s="34"/>
      <c r="T185" s="34"/>
      <c r="U185" s="34"/>
      <c r="V185" s="34"/>
    </row>
    <row r="186" spans="1:22">
      <c r="A186" s="35"/>
      <c r="B186" s="3"/>
      <c r="C186" s="35"/>
      <c r="D186" s="34"/>
      <c r="E186" s="34"/>
      <c r="F186" s="35"/>
      <c r="G186" s="35"/>
      <c r="H186" s="3"/>
      <c r="I186" s="35"/>
      <c r="J186" s="35" t="str">
        <f>IF(OR(TRIM(E186)="", TRIM(H186)=""), "", IFERROR(IF(OR(VLOOKUP(E186&amp;"|"&amp;H186&amp;"", DB!$A:$N, 6, FALSE)="", VLOOKUP(E186&amp;"|"&amp;H186&amp;"", DB!$A:$N, 6, FALSE)="-"), "", VLOOKUP(E186&amp;"|"&amp;H186&amp;"", DB!$A:$N, 6, FALSE)), ""))</f>
        <v/>
      </c>
      <c r="K186" s="35"/>
      <c r="L186" s="35"/>
      <c r="M186" s="35"/>
      <c r="N186" s="35" t="str">
        <f t="shared" si="2"/>
        <v/>
      </c>
      <c r="O186" s="34"/>
      <c r="P186" s="34"/>
      <c r="Q186" s="34"/>
      <c r="R186" s="34"/>
      <c r="S186" s="34"/>
      <c r="T186" s="34"/>
      <c r="U186" s="34"/>
      <c r="V186" s="34"/>
    </row>
    <row r="187" spans="1:22">
      <c r="A187" s="35"/>
      <c r="B187" s="3"/>
      <c r="C187" s="35"/>
      <c r="D187" s="34"/>
      <c r="E187" s="34"/>
      <c r="F187" s="35"/>
      <c r="G187" s="35"/>
      <c r="H187" s="3"/>
      <c r="I187" s="35"/>
      <c r="J187" s="35" t="str">
        <f>IF(OR(TRIM(E187)="", TRIM(H187)=""), "", IFERROR(IF(OR(VLOOKUP(E187&amp;"|"&amp;H187&amp;"", DB!$A:$N, 6, FALSE)="", VLOOKUP(E187&amp;"|"&amp;H187&amp;"", DB!$A:$N, 6, FALSE)="-"), "", VLOOKUP(E187&amp;"|"&amp;H187&amp;"", DB!$A:$N, 6, FALSE)), ""))</f>
        <v/>
      </c>
      <c r="K187" s="35"/>
      <c r="L187" s="35"/>
      <c r="M187" s="35"/>
      <c r="N187" s="35" t="str">
        <f t="shared" si="2"/>
        <v/>
      </c>
      <c r="O187" s="34"/>
      <c r="P187" s="34"/>
      <c r="Q187" s="34"/>
      <c r="R187" s="34"/>
      <c r="S187" s="34"/>
      <c r="T187" s="34"/>
      <c r="U187" s="34"/>
      <c r="V187" s="34"/>
    </row>
    <row r="188" spans="1:22">
      <c r="A188" s="35"/>
      <c r="B188" s="3"/>
      <c r="C188" s="35"/>
      <c r="D188" s="34"/>
      <c r="E188" s="34"/>
      <c r="F188" s="35"/>
      <c r="G188" s="35"/>
      <c r="H188" s="3"/>
      <c r="I188" s="35"/>
      <c r="J188" s="35" t="str">
        <f>IF(OR(TRIM(E188)="", TRIM(H188)=""), "", IFERROR(IF(OR(VLOOKUP(E188&amp;"|"&amp;H188&amp;"", DB!$A:$N, 6, FALSE)="", VLOOKUP(E188&amp;"|"&amp;H188&amp;"", DB!$A:$N, 6, FALSE)="-"), "", VLOOKUP(E188&amp;"|"&amp;H188&amp;"", DB!$A:$N, 6, FALSE)), ""))</f>
        <v/>
      </c>
      <c r="K188" s="35"/>
      <c r="L188" s="35"/>
      <c r="M188" s="35"/>
      <c r="N188" s="35" t="str">
        <f t="shared" si="2"/>
        <v/>
      </c>
      <c r="O188" s="34"/>
      <c r="P188" s="34"/>
      <c r="Q188" s="34"/>
      <c r="R188" s="34"/>
      <c r="S188" s="34"/>
      <c r="T188" s="34"/>
      <c r="U188" s="34"/>
      <c r="V188" s="34"/>
    </row>
    <row r="189" spans="1:22">
      <c r="A189" s="35"/>
      <c r="B189" s="3"/>
      <c r="C189" s="35"/>
      <c r="D189" s="34"/>
      <c r="E189" s="34"/>
      <c r="F189" s="35"/>
      <c r="G189" s="35"/>
      <c r="H189" s="3"/>
      <c r="I189" s="35"/>
      <c r="J189" s="35" t="str">
        <f>IF(OR(TRIM(E189)="", TRIM(H189)=""), "", IFERROR(IF(OR(VLOOKUP(E189&amp;"|"&amp;H189&amp;"", DB!$A:$N, 6, FALSE)="", VLOOKUP(E189&amp;"|"&amp;H189&amp;"", DB!$A:$N, 6, FALSE)="-"), "", VLOOKUP(E189&amp;"|"&amp;H189&amp;"", DB!$A:$N, 6, FALSE)), ""))</f>
        <v/>
      </c>
      <c r="K189" s="35"/>
      <c r="L189" s="35"/>
      <c r="M189" s="35"/>
      <c r="N189" s="35" t="str">
        <f t="shared" si="2"/>
        <v/>
      </c>
      <c r="O189" s="34"/>
      <c r="P189" s="34"/>
      <c r="Q189" s="34"/>
      <c r="R189" s="34"/>
      <c r="S189" s="34"/>
      <c r="T189" s="34"/>
      <c r="U189" s="34"/>
      <c r="V189" s="34"/>
    </row>
    <row r="190" spans="1:22">
      <c r="A190" s="35"/>
      <c r="B190" s="3"/>
      <c r="C190" s="35"/>
      <c r="D190" s="34"/>
      <c r="E190" s="34"/>
      <c r="F190" s="35"/>
      <c r="G190" s="35"/>
      <c r="H190" s="3"/>
      <c r="I190" s="35"/>
      <c r="J190" s="35" t="str">
        <f>IF(OR(TRIM(E190)="", TRIM(H190)=""), "", IFERROR(IF(OR(VLOOKUP(E190&amp;"|"&amp;H190&amp;"", DB!$A:$N, 6, FALSE)="", VLOOKUP(E190&amp;"|"&amp;H190&amp;"", DB!$A:$N, 6, FALSE)="-"), "", VLOOKUP(E190&amp;"|"&amp;H190&amp;"", DB!$A:$N, 6, FALSE)), ""))</f>
        <v/>
      </c>
      <c r="K190" s="35"/>
      <c r="L190" s="35"/>
      <c r="M190" s="35"/>
      <c r="N190" s="35" t="str">
        <f t="shared" si="2"/>
        <v/>
      </c>
      <c r="O190" s="34"/>
      <c r="P190" s="34"/>
      <c r="Q190" s="34"/>
      <c r="R190" s="34"/>
      <c r="S190" s="34"/>
      <c r="T190" s="34"/>
      <c r="U190" s="34"/>
      <c r="V190" s="34"/>
    </row>
    <row r="191" spans="1:22">
      <c r="A191" s="35"/>
      <c r="B191" s="3"/>
      <c r="C191" s="35"/>
      <c r="D191" s="34"/>
      <c r="E191" s="34"/>
      <c r="F191" s="35"/>
      <c r="G191" s="35"/>
      <c r="H191" s="3"/>
      <c r="I191" s="35"/>
      <c r="J191" s="35" t="str">
        <f>IF(OR(TRIM(E191)="", TRIM(H191)=""), "", IFERROR(IF(OR(VLOOKUP(E191&amp;"|"&amp;H191&amp;"", DB!$A:$N, 6, FALSE)="", VLOOKUP(E191&amp;"|"&amp;H191&amp;"", DB!$A:$N, 6, FALSE)="-"), "", VLOOKUP(E191&amp;"|"&amp;H191&amp;"", DB!$A:$N, 6, FALSE)), ""))</f>
        <v/>
      </c>
      <c r="K191" s="35"/>
      <c r="L191" s="35"/>
      <c r="M191" s="35"/>
      <c r="N191" s="35" t="str">
        <f t="shared" si="2"/>
        <v/>
      </c>
      <c r="O191" s="34"/>
      <c r="P191" s="34"/>
      <c r="Q191" s="34"/>
      <c r="R191" s="34"/>
      <c r="S191" s="34"/>
      <c r="T191" s="34"/>
      <c r="U191" s="34"/>
      <c r="V191" s="34"/>
    </row>
    <row r="192" spans="1:22">
      <c r="A192" s="35"/>
      <c r="B192" s="3"/>
      <c r="C192" s="35"/>
      <c r="D192" s="34"/>
      <c r="E192" s="34"/>
      <c r="F192" s="35"/>
      <c r="G192" s="35"/>
      <c r="H192" s="3"/>
      <c r="I192" s="35"/>
      <c r="J192" s="35" t="str">
        <f>IF(OR(TRIM(E192)="", TRIM(H192)=""), "", IFERROR(IF(OR(VLOOKUP(E192&amp;"|"&amp;H192&amp;"", DB!$A:$N, 6, FALSE)="", VLOOKUP(E192&amp;"|"&amp;H192&amp;"", DB!$A:$N, 6, FALSE)="-"), "", VLOOKUP(E192&amp;"|"&amp;H192&amp;"", DB!$A:$N, 6, FALSE)), ""))</f>
        <v/>
      </c>
      <c r="K192" s="35"/>
      <c r="L192" s="35"/>
      <c r="M192" s="35"/>
      <c r="N192" s="35" t="str">
        <f t="shared" si="2"/>
        <v/>
      </c>
      <c r="O192" s="34"/>
      <c r="P192" s="34"/>
      <c r="Q192" s="34"/>
      <c r="R192" s="34"/>
      <c r="S192" s="34"/>
      <c r="T192" s="34"/>
      <c r="U192" s="34"/>
      <c r="V192" s="34"/>
    </row>
    <row r="193" spans="1:22">
      <c r="A193" s="35"/>
      <c r="B193" s="3"/>
      <c r="C193" s="35"/>
      <c r="D193" s="34"/>
      <c r="E193" s="34"/>
      <c r="F193" s="35"/>
      <c r="G193" s="35"/>
      <c r="H193" s="3"/>
      <c r="I193" s="35"/>
      <c r="J193" s="35" t="str">
        <f>IF(OR(TRIM(E193)="", TRIM(H193)=""), "", IFERROR(IF(OR(VLOOKUP(E193&amp;"|"&amp;H193&amp;"", DB!$A:$N, 6, FALSE)="", VLOOKUP(E193&amp;"|"&amp;H193&amp;"", DB!$A:$N, 6, FALSE)="-"), "", VLOOKUP(E193&amp;"|"&amp;H193&amp;"", DB!$A:$N, 6, FALSE)), ""))</f>
        <v/>
      </c>
      <c r="K193" s="35"/>
      <c r="L193" s="35"/>
      <c r="M193" s="35"/>
      <c r="N193" s="35" t="str">
        <f t="shared" si="2"/>
        <v/>
      </c>
      <c r="O193" s="34"/>
      <c r="P193" s="34"/>
      <c r="Q193" s="34"/>
      <c r="R193" s="34"/>
      <c r="S193" s="34"/>
      <c r="T193" s="34"/>
      <c r="U193" s="34"/>
      <c r="V193" s="34"/>
    </row>
    <row r="194" spans="1:22">
      <c r="A194" s="35"/>
      <c r="B194" s="3"/>
      <c r="C194" s="35"/>
      <c r="D194" s="34"/>
      <c r="E194" s="34"/>
      <c r="F194" s="35"/>
      <c r="G194" s="35"/>
      <c r="H194" s="3"/>
      <c r="I194" s="35"/>
      <c r="J194" s="35" t="str">
        <f>IF(OR(TRIM(E194)="", TRIM(H194)=""), "", IFERROR(IF(OR(VLOOKUP(E194&amp;"|"&amp;H194&amp;"", DB!$A:$N, 6, FALSE)="", VLOOKUP(E194&amp;"|"&amp;H194&amp;"", DB!$A:$N, 6, FALSE)="-"), "", VLOOKUP(E194&amp;"|"&amp;H194&amp;"", DB!$A:$N, 6, FALSE)), ""))</f>
        <v/>
      </c>
      <c r="K194" s="35"/>
      <c r="L194" s="35"/>
      <c r="M194" s="35"/>
      <c r="N194" s="35" t="str">
        <f t="shared" ref="N194:N257" si="3">IF(TRIM(D194)="", "", IF(N(L194)-N(M194)&lt;=0, "X", N(L194)-N(M194)))</f>
        <v/>
      </c>
      <c r="O194" s="34"/>
      <c r="P194" s="34"/>
      <c r="Q194" s="34"/>
      <c r="R194" s="34"/>
      <c r="S194" s="34"/>
      <c r="T194" s="34"/>
      <c r="U194" s="34"/>
      <c r="V194" s="34"/>
    </row>
    <row r="195" spans="1:22">
      <c r="A195" s="35"/>
      <c r="B195" s="3"/>
      <c r="C195" s="35"/>
      <c r="D195" s="34"/>
      <c r="E195" s="34"/>
      <c r="F195" s="35"/>
      <c r="G195" s="35"/>
      <c r="H195" s="3"/>
      <c r="I195" s="35"/>
      <c r="J195" s="35" t="str">
        <f>IF(OR(TRIM(E195)="", TRIM(H195)=""), "", IFERROR(IF(OR(VLOOKUP(E195&amp;"|"&amp;H195&amp;"", DB!$A:$N, 6, FALSE)="", VLOOKUP(E195&amp;"|"&amp;H195&amp;"", DB!$A:$N, 6, FALSE)="-"), "", VLOOKUP(E195&amp;"|"&amp;H195&amp;"", DB!$A:$N, 6, FALSE)), ""))</f>
        <v/>
      </c>
      <c r="K195" s="35"/>
      <c r="L195" s="35"/>
      <c r="M195" s="35"/>
      <c r="N195" s="35" t="str">
        <f t="shared" si="3"/>
        <v/>
      </c>
      <c r="O195" s="34"/>
      <c r="P195" s="34"/>
      <c r="Q195" s="34"/>
      <c r="R195" s="34"/>
      <c r="S195" s="34"/>
      <c r="T195" s="34"/>
      <c r="U195" s="34"/>
      <c r="V195" s="34"/>
    </row>
    <row r="196" spans="1:22">
      <c r="A196" s="35"/>
      <c r="B196" s="3"/>
      <c r="C196" s="35"/>
      <c r="D196" s="34"/>
      <c r="E196" s="34"/>
      <c r="F196" s="35"/>
      <c r="G196" s="35"/>
      <c r="H196" s="3"/>
      <c r="I196" s="35"/>
      <c r="J196" s="35" t="str">
        <f>IF(OR(TRIM(E196)="", TRIM(H196)=""), "", IFERROR(IF(OR(VLOOKUP(E196&amp;"|"&amp;H196&amp;"", DB!$A:$N, 6, FALSE)="", VLOOKUP(E196&amp;"|"&amp;H196&amp;"", DB!$A:$N, 6, FALSE)="-"), "", VLOOKUP(E196&amp;"|"&amp;H196&amp;"", DB!$A:$N, 6, FALSE)), ""))</f>
        <v/>
      </c>
      <c r="K196" s="35"/>
      <c r="L196" s="35"/>
      <c r="M196" s="35"/>
      <c r="N196" s="35" t="str">
        <f t="shared" si="3"/>
        <v/>
      </c>
      <c r="O196" s="34"/>
      <c r="P196" s="34"/>
      <c r="Q196" s="34"/>
      <c r="R196" s="34"/>
      <c r="S196" s="34"/>
      <c r="T196" s="34"/>
      <c r="U196" s="34"/>
      <c r="V196" s="34"/>
    </row>
    <row r="197" spans="1:22">
      <c r="A197" s="35"/>
      <c r="B197" s="3"/>
      <c r="C197" s="35"/>
      <c r="D197" s="34"/>
      <c r="E197" s="34"/>
      <c r="F197" s="35"/>
      <c r="G197" s="35"/>
      <c r="H197" s="3"/>
      <c r="I197" s="35"/>
      <c r="J197" s="35" t="str">
        <f>IF(OR(TRIM(E197)="", TRIM(H197)=""), "", IFERROR(IF(OR(VLOOKUP(E197&amp;"|"&amp;H197&amp;"", DB!$A:$N, 6, FALSE)="", VLOOKUP(E197&amp;"|"&amp;H197&amp;"", DB!$A:$N, 6, FALSE)="-"), "", VLOOKUP(E197&amp;"|"&amp;H197&amp;"", DB!$A:$N, 6, FALSE)), ""))</f>
        <v/>
      </c>
      <c r="K197" s="35"/>
      <c r="L197" s="35"/>
      <c r="M197" s="35"/>
      <c r="N197" s="35" t="str">
        <f t="shared" si="3"/>
        <v/>
      </c>
      <c r="O197" s="34"/>
      <c r="P197" s="34"/>
      <c r="Q197" s="34"/>
      <c r="R197" s="34"/>
      <c r="S197" s="34"/>
      <c r="T197" s="34"/>
      <c r="U197" s="34"/>
      <c r="V197" s="34"/>
    </row>
    <row r="198" spans="1:22">
      <c r="A198" s="35"/>
      <c r="B198" s="3"/>
      <c r="C198" s="35"/>
      <c r="D198" s="34"/>
      <c r="E198" s="34"/>
      <c r="F198" s="35"/>
      <c r="G198" s="35"/>
      <c r="H198" s="3"/>
      <c r="I198" s="35"/>
      <c r="J198" s="35" t="str">
        <f>IF(OR(TRIM(E198)="", TRIM(H198)=""), "", IFERROR(IF(OR(VLOOKUP(E198&amp;"|"&amp;H198&amp;"", DB!$A:$N, 6, FALSE)="", VLOOKUP(E198&amp;"|"&amp;H198&amp;"", DB!$A:$N, 6, FALSE)="-"), "", VLOOKUP(E198&amp;"|"&amp;H198&amp;"", DB!$A:$N, 6, FALSE)), ""))</f>
        <v/>
      </c>
      <c r="K198" s="35"/>
      <c r="L198" s="35"/>
      <c r="M198" s="35"/>
      <c r="N198" s="35" t="str">
        <f t="shared" si="3"/>
        <v/>
      </c>
      <c r="O198" s="34"/>
      <c r="P198" s="34"/>
      <c r="Q198" s="34"/>
      <c r="R198" s="34"/>
      <c r="S198" s="34"/>
      <c r="T198" s="34"/>
      <c r="U198" s="34"/>
      <c r="V198" s="34"/>
    </row>
    <row r="199" spans="1:22">
      <c r="A199" s="35"/>
      <c r="B199" s="3"/>
      <c r="C199" s="35"/>
      <c r="D199" s="34"/>
      <c r="E199" s="34"/>
      <c r="F199" s="35"/>
      <c r="G199" s="35"/>
      <c r="H199" s="3"/>
      <c r="I199" s="35"/>
      <c r="J199" s="35" t="str">
        <f>IF(OR(TRIM(E199)="", TRIM(H199)=""), "", IFERROR(IF(OR(VLOOKUP(E199&amp;"|"&amp;H199&amp;"", DB!$A:$N, 6, FALSE)="", VLOOKUP(E199&amp;"|"&amp;H199&amp;"", DB!$A:$N, 6, FALSE)="-"), "", VLOOKUP(E199&amp;"|"&amp;H199&amp;"", DB!$A:$N, 6, FALSE)), ""))</f>
        <v/>
      </c>
      <c r="K199" s="35"/>
      <c r="L199" s="35"/>
      <c r="M199" s="35"/>
      <c r="N199" s="35" t="str">
        <f t="shared" si="3"/>
        <v/>
      </c>
      <c r="O199" s="34"/>
      <c r="P199" s="34"/>
      <c r="Q199" s="34"/>
      <c r="R199" s="34"/>
      <c r="S199" s="34"/>
      <c r="T199" s="34"/>
      <c r="U199" s="34"/>
      <c r="V199" s="34"/>
    </row>
    <row r="200" spans="1:22">
      <c r="A200" s="35"/>
      <c r="B200" s="3"/>
      <c r="C200" s="35"/>
      <c r="D200" s="34"/>
      <c r="E200" s="34"/>
      <c r="F200" s="35"/>
      <c r="G200" s="35"/>
      <c r="H200" s="3"/>
      <c r="I200" s="35"/>
      <c r="J200" s="35" t="str">
        <f>IF(OR(TRIM(E200)="", TRIM(H200)=""), "", IFERROR(IF(OR(VLOOKUP(E200&amp;"|"&amp;H200&amp;"", DB!$A:$N, 6, FALSE)="", VLOOKUP(E200&amp;"|"&amp;H200&amp;"", DB!$A:$N, 6, FALSE)="-"), "", VLOOKUP(E200&amp;"|"&amp;H200&amp;"", DB!$A:$N, 6, FALSE)), ""))</f>
        <v/>
      </c>
      <c r="K200" s="35"/>
      <c r="L200" s="35"/>
      <c r="M200" s="35"/>
      <c r="N200" s="35" t="str">
        <f t="shared" si="3"/>
        <v/>
      </c>
      <c r="O200" s="34"/>
      <c r="P200" s="34"/>
      <c r="Q200" s="34"/>
      <c r="R200" s="34"/>
      <c r="S200" s="34"/>
      <c r="T200" s="34"/>
      <c r="U200" s="34"/>
      <c r="V200" s="34"/>
    </row>
    <row r="201" spans="1:22">
      <c r="A201" s="35"/>
      <c r="B201" s="3"/>
      <c r="C201" s="35"/>
      <c r="D201" s="34"/>
      <c r="E201" s="34"/>
      <c r="F201" s="35"/>
      <c r="G201" s="35"/>
      <c r="H201" s="3"/>
      <c r="I201" s="35"/>
      <c r="J201" s="35" t="str">
        <f>IF(OR(TRIM(E201)="", TRIM(H201)=""), "", IFERROR(IF(OR(VLOOKUP(E201&amp;"|"&amp;H201&amp;"", DB!$A:$N, 6, FALSE)="", VLOOKUP(E201&amp;"|"&amp;H201&amp;"", DB!$A:$N, 6, FALSE)="-"), "", VLOOKUP(E201&amp;"|"&amp;H201&amp;"", DB!$A:$N, 6, FALSE)), ""))</f>
        <v/>
      </c>
      <c r="K201" s="35"/>
      <c r="L201" s="35"/>
      <c r="M201" s="35"/>
      <c r="N201" s="35" t="str">
        <f t="shared" si="3"/>
        <v/>
      </c>
      <c r="O201" s="34"/>
      <c r="P201" s="34"/>
      <c r="Q201" s="34"/>
      <c r="R201" s="34"/>
      <c r="S201" s="34"/>
      <c r="T201" s="34"/>
      <c r="U201" s="34"/>
      <c r="V201" s="34"/>
    </row>
    <row r="202" spans="1:22">
      <c r="A202" s="35"/>
      <c r="B202" s="3"/>
      <c r="C202" s="35"/>
      <c r="D202" s="34"/>
      <c r="E202" s="34"/>
      <c r="F202" s="35"/>
      <c r="G202" s="35"/>
      <c r="H202" s="3"/>
      <c r="I202" s="35"/>
      <c r="J202" s="35" t="str">
        <f>IF(OR(TRIM(E202)="", TRIM(H202)=""), "", IFERROR(IF(OR(VLOOKUP(E202&amp;"|"&amp;H202&amp;"", DB!$A:$N, 6, FALSE)="", VLOOKUP(E202&amp;"|"&amp;H202&amp;"", DB!$A:$N, 6, FALSE)="-"), "", VLOOKUP(E202&amp;"|"&amp;H202&amp;"", DB!$A:$N, 6, FALSE)), ""))</f>
        <v/>
      </c>
      <c r="K202" s="35"/>
      <c r="L202" s="35"/>
      <c r="M202" s="35"/>
      <c r="N202" s="35" t="str">
        <f t="shared" si="3"/>
        <v/>
      </c>
      <c r="O202" s="34"/>
      <c r="P202" s="34"/>
      <c r="Q202" s="34"/>
      <c r="R202" s="34"/>
      <c r="S202" s="34"/>
      <c r="T202" s="34"/>
      <c r="U202" s="34"/>
      <c r="V202" s="34"/>
    </row>
    <row r="203" spans="1:22">
      <c r="A203" s="35"/>
      <c r="B203" s="3"/>
      <c r="C203" s="35"/>
      <c r="D203" s="34"/>
      <c r="E203" s="34"/>
      <c r="F203" s="35"/>
      <c r="G203" s="35"/>
      <c r="H203" s="3"/>
      <c r="I203" s="35"/>
      <c r="J203" s="35" t="str">
        <f>IF(OR(TRIM(E203)="", TRIM(H203)=""), "", IFERROR(IF(OR(VLOOKUP(E203&amp;"|"&amp;H203&amp;"", DB!$A:$N, 6, FALSE)="", VLOOKUP(E203&amp;"|"&amp;H203&amp;"", DB!$A:$N, 6, FALSE)="-"), "", VLOOKUP(E203&amp;"|"&amp;H203&amp;"", DB!$A:$N, 6, FALSE)), ""))</f>
        <v/>
      </c>
      <c r="K203" s="35"/>
      <c r="L203" s="35"/>
      <c r="M203" s="35"/>
      <c r="N203" s="35" t="str">
        <f t="shared" si="3"/>
        <v/>
      </c>
      <c r="O203" s="34"/>
      <c r="P203" s="34"/>
      <c r="Q203" s="34"/>
      <c r="R203" s="34"/>
      <c r="S203" s="34"/>
      <c r="T203" s="34"/>
      <c r="U203" s="34"/>
      <c r="V203" s="34"/>
    </row>
    <row r="204" spans="1:22">
      <c r="A204" s="35"/>
      <c r="B204" s="3"/>
      <c r="C204" s="35"/>
      <c r="D204" s="34"/>
      <c r="E204" s="34"/>
      <c r="F204" s="35"/>
      <c r="G204" s="35"/>
      <c r="H204" s="3"/>
      <c r="I204" s="35"/>
      <c r="J204" s="35" t="str">
        <f>IF(OR(TRIM(E204)="", TRIM(H204)=""), "", IFERROR(IF(OR(VLOOKUP(E204&amp;"|"&amp;H204&amp;"", DB!$A:$N, 6, FALSE)="", VLOOKUP(E204&amp;"|"&amp;H204&amp;"", DB!$A:$N, 6, FALSE)="-"), "", VLOOKUP(E204&amp;"|"&amp;H204&amp;"", DB!$A:$N, 6, FALSE)), ""))</f>
        <v/>
      </c>
      <c r="K204" s="35"/>
      <c r="L204" s="35"/>
      <c r="M204" s="35"/>
      <c r="N204" s="35" t="str">
        <f t="shared" si="3"/>
        <v/>
      </c>
      <c r="O204" s="34"/>
      <c r="P204" s="34"/>
      <c r="Q204" s="34"/>
      <c r="R204" s="34"/>
      <c r="S204" s="34"/>
      <c r="T204" s="34"/>
      <c r="U204" s="34"/>
      <c r="V204" s="34"/>
    </row>
    <row r="205" spans="1:22">
      <c r="A205" s="35"/>
      <c r="B205" s="3"/>
      <c r="C205" s="35"/>
      <c r="D205" s="34"/>
      <c r="E205" s="34"/>
      <c r="F205" s="35"/>
      <c r="G205" s="35"/>
      <c r="H205" s="3"/>
      <c r="I205" s="35"/>
      <c r="J205" s="35" t="str">
        <f>IF(OR(TRIM(E205)="", TRIM(H205)=""), "", IFERROR(IF(OR(VLOOKUP(E205&amp;"|"&amp;H205&amp;"", DB!$A:$N, 6, FALSE)="", VLOOKUP(E205&amp;"|"&amp;H205&amp;"", DB!$A:$N, 6, FALSE)="-"), "", VLOOKUP(E205&amp;"|"&amp;H205&amp;"", DB!$A:$N, 6, FALSE)), ""))</f>
        <v/>
      </c>
      <c r="K205" s="35"/>
      <c r="L205" s="35"/>
      <c r="M205" s="35"/>
      <c r="N205" s="35" t="str">
        <f t="shared" si="3"/>
        <v/>
      </c>
      <c r="O205" s="34"/>
      <c r="P205" s="34"/>
      <c r="Q205" s="34"/>
      <c r="R205" s="34"/>
      <c r="S205" s="34"/>
      <c r="T205" s="34"/>
      <c r="U205" s="34"/>
      <c r="V205" s="34"/>
    </row>
    <row r="206" spans="1:22">
      <c r="A206" s="35"/>
      <c r="B206" s="3"/>
      <c r="C206" s="35"/>
      <c r="D206" s="34"/>
      <c r="E206" s="34"/>
      <c r="F206" s="35"/>
      <c r="G206" s="35"/>
      <c r="H206" s="3"/>
      <c r="I206" s="35"/>
      <c r="J206" s="35" t="str">
        <f>IF(OR(TRIM(E206)="", TRIM(H206)=""), "", IFERROR(IF(OR(VLOOKUP(E206&amp;"|"&amp;H206&amp;"", DB!$A:$N, 6, FALSE)="", VLOOKUP(E206&amp;"|"&amp;H206&amp;"", DB!$A:$N, 6, FALSE)="-"), "", VLOOKUP(E206&amp;"|"&amp;H206&amp;"", DB!$A:$N, 6, FALSE)), ""))</f>
        <v/>
      </c>
      <c r="K206" s="35"/>
      <c r="L206" s="35"/>
      <c r="M206" s="35"/>
      <c r="N206" s="35" t="str">
        <f t="shared" si="3"/>
        <v/>
      </c>
      <c r="O206" s="34"/>
      <c r="P206" s="34"/>
      <c r="Q206" s="34"/>
      <c r="R206" s="34"/>
      <c r="S206" s="34"/>
      <c r="T206" s="34"/>
      <c r="U206" s="34"/>
      <c r="V206" s="34"/>
    </row>
    <row r="207" spans="1:22">
      <c r="A207" s="35"/>
      <c r="B207" s="3"/>
      <c r="C207" s="35"/>
      <c r="D207" s="34"/>
      <c r="E207" s="34"/>
      <c r="F207" s="35"/>
      <c r="G207" s="35"/>
      <c r="H207" s="3"/>
      <c r="I207" s="35"/>
      <c r="J207" s="35" t="str">
        <f>IF(OR(TRIM(E207)="", TRIM(H207)=""), "", IFERROR(IF(OR(VLOOKUP(E207&amp;"|"&amp;H207&amp;"", DB!$A:$N, 6, FALSE)="", VLOOKUP(E207&amp;"|"&amp;H207&amp;"", DB!$A:$N, 6, FALSE)="-"), "", VLOOKUP(E207&amp;"|"&amp;H207&amp;"", DB!$A:$N, 6, FALSE)), ""))</f>
        <v/>
      </c>
      <c r="K207" s="35"/>
      <c r="L207" s="35"/>
      <c r="M207" s="35"/>
      <c r="N207" s="35" t="str">
        <f t="shared" si="3"/>
        <v/>
      </c>
      <c r="O207" s="34"/>
      <c r="P207" s="34"/>
      <c r="Q207" s="34"/>
      <c r="R207" s="34"/>
      <c r="S207" s="34"/>
      <c r="T207" s="34"/>
      <c r="U207" s="34"/>
      <c r="V207" s="34"/>
    </row>
    <row r="208" spans="1:22">
      <c r="A208" s="35"/>
      <c r="B208" s="3"/>
      <c r="C208" s="35"/>
      <c r="D208" s="34"/>
      <c r="E208" s="34"/>
      <c r="F208" s="35"/>
      <c r="G208" s="35"/>
      <c r="H208" s="3"/>
      <c r="I208" s="35"/>
      <c r="J208" s="35" t="str">
        <f>IF(OR(TRIM(E208)="", TRIM(H208)=""), "", IFERROR(IF(OR(VLOOKUP(E208&amp;"|"&amp;H208&amp;"", DB!$A:$N, 6, FALSE)="", VLOOKUP(E208&amp;"|"&amp;H208&amp;"", DB!$A:$N, 6, FALSE)="-"), "", VLOOKUP(E208&amp;"|"&amp;H208&amp;"", DB!$A:$N, 6, FALSE)), ""))</f>
        <v/>
      </c>
      <c r="K208" s="35"/>
      <c r="L208" s="35"/>
      <c r="M208" s="35"/>
      <c r="N208" s="35" t="str">
        <f t="shared" si="3"/>
        <v/>
      </c>
      <c r="O208" s="34"/>
      <c r="P208" s="34"/>
      <c r="Q208" s="34"/>
      <c r="R208" s="34"/>
      <c r="S208" s="34"/>
      <c r="T208" s="34"/>
      <c r="U208" s="34"/>
      <c r="V208" s="34"/>
    </row>
    <row r="209" spans="1:22">
      <c r="A209" s="35"/>
      <c r="B209" s="3"/>
      <c r="C209" s="35"/>
      <c r="D209" s="34"/>
      <c r="E209" s="34"/>
      <c r="F209" s="35"/>
      <c r="G209" s="35"/>
      <c r="H209" s="3"/>
      <c r="I209" s="35"/>
      <c r="J209" s="35" t="str">
        <f>IF(OR(TRIM(E209)="", TRIM(H209)=""), "", IFERROR(IF(OR(VLOOKUP(E209&amp;"|"&amp;H209&amp;"", DB!$A:$N, 6, FALSE)="", VLOOKUP(E209&amp;"|"&amp;H209&amp;"", DB!$A:$N, 6, FALSE)="-"), "", VLOOKUP(E209&amp;"|"&amp;H209&amp;"", DB!$A:$N, 6, FALSE)), ""))</f>
        <v/>
      </c>
      <c r="K209" s="35"/>
      <c r="L209" s="35"/>
      <c r="M209" s="35"/>
      <c r="N209" s="35" t="str">
        <f t="shared" si="3"/>
        <v/>
      </c>
      <c r="O209" s="34"/>
      <c r="P209" s="34"/>
      <c r="Q209" s="34"/>
      <c r="R209" s="34"/>
      <c r="S209" s="34"/>
      <c r="T209" s="34"/>
      <c r="U209" s="34"/>
      <c r="V209" s="34"/>
    </row>
    <row r="210" spans="1:22">
      <c r="A210" s="35"/>
      <c r="B210" s="3"/>
      <c r="C210" s="35"/>
      <c r="D210" s="34"/>
      <c r="E210" s="34"/>
      <c r="F210" s="35"/>
      <c r="G210" s="35"/>
      <c r="H210" s="3"/>
      <c r="I210" s="35"/>
      <c r="J210" s="35" t="str">
        <f>IF(OR(TRIM(E210)="", TRIM(H210)=""), "", IFERROR(IF(OR(VLOOKUP(E210&amp;"|"&amp;H210&amp;"", DB!$A:$N, 6, FALSE)="", VLOOKUP(E210&amp;"|"&amp;H210&amp;"", DB!$A:$N, 6, FALSE)="-"), "", VLOOKUP(E210&amp;"|"&amp;H210&amp;"", DB!$A:$N, 6, FALSE)), ""))</f>
        <v/>
      </c>
      <c r="K210" s="35"/>
      <c r="L210" s="35"/>
      <c r="M210" s="35"/>
      <c r="N210" s="35" t="str">
        <f t="shared" si="3"/>
        <v/>
      </c>
      <c r="O210" s="34"/>
      <c r="P210" s="34"/>
      <c r="Q210" s="34"/>
      <c r="R210" s="34"/>
      <c r="S210" s="34"/>
      <c r="T210" s="34"/>
      <c r="U210" s="34"/>
      <c r="V210" s="34"/>
    </row>
    <row r="211" spans="1:22">
      <c r="A211" s="35"/>
      <c r="B211" s="3"/>
      <c r="C211" s="35"/>
      <c r="D211" s="34"/>
      <c r="E211" s="34"/>
      <c r="F211" s="35"/>
      <c r="G211" s="35"/>
      <c r="H211" s="3"/>
      <c r="I211" s="35"/>
      <c r="J211" s="35" t="str">
        <f>IF(OR(TRIM(E211)="", TRIM(H211)=""), "", IFERROR(IF(OR(VLOOKUP(E211&amp;"|"&amp;H211&amp;"", DB!$A:$N, 6, FALSE)="", VLOOKUP(E211&amp;"|"&amp;H211&amp;"", DB!$A:$N, 6, FALSE)="-"), "", VLOOKUP(E211&amp;"|"&amp;H211&amp;"", DB!$A:$N, 6, FALSE)), ""))</f>
        <v/>
      </c>
      <c r="K211" s="35"/>
      <c r="L211" s="35"/>
      <c r="M211" s="35"/>
      <c r="N211" s="35" t="str">
        <f t="shared" si="3"/>
        <v/>
      </c>
      <c r="O211" s="34"/>
      <c r="P211" s="34"/>
      <c r="Q211" s="34"/>
      <c r="R211" s="34"/>
      <c r="S211" s="34"/>
      <c r="T211" s="34"/>
      <c r="U211" s="34"/>
      <c r="V211" s="34"/>
    </row>
    <row r="212" spans="1:22">
      <c r="A212" s="35"/>
      <c r="B212" s="3"/>
      <c r="C212" s="35"/>
      <c r="D212" s="34"/>
      <c r="E212" s="34"/>
      <c r="F212" s="35"/>
      <c r="G212" s="35"/>
      <c r="H212" s="3"/>
      <c r="I212" s="35"/>
      <c r="J212" s="35" t="str">
        <f>IF(OR(TRIM(E212)="", TRIM(H212)=""), "", IFERROR(IF(OR(VLOOKUP(E212&amp;"|"&amp;H212&amp;"", DB!$A:$N, 6, FALSE)="", VLOOKUP(E212&amp;"|"&amp;H212&amp;"", DB!$A:$N, 6, FALSE)="-"), "", VLOOKUP(E212&amp;"|"&amp;H212&amp;"", DB!$A:$N, 6, FALSE)), ""))</f>
        <v/>
      </c>
      <c r="K212" s="35"/>
      <c r="L212" s="35"/>
      <c r="M212" s="35"/>
      <c r="N212" s="35" t="str">
        <f t="shared" si="3"/>
        <v/>
      </c>
      <c r="O212" s="34"/>
      <c r="P212" s="34"/>
      <c r="Q212" s="34"/>
      <c r="R212" s="34"/>
      <c r="S212" s="34"/>
      <c r="T212" s="34"/>
      <c r="U212" s="34"/>
      <c r="V212" s="34"/>
    </row>
    <row r="213" spans="1:22">
      <c r="A213" s="35"/>
      <c r="B213" s="3"/>
      <c r="C213" s="35"/>
      <c r="D213" s="34"/>
      <c r="E213" s="34"/>
      <c r="F213" s="35"/>
      <c r="G213" s="35"/>
      <c r="H213" s="3"/>
      <c r="I213" s="35"/>
      <c r="J213" s="35" t="str">
        <f>IF(OR(TRIM(E213)="", TRIM(H213)=""), "", IFERROR(IF(OR(VLOOKUP(E213&amp;"|"&amp;H213&amp;"", DB!$A:$N, 6, FALSE)="", VLOOKUP(E213&amp;"|"&amp;H213&amp;"", DB!$A:$N, 6, FALSE)="-"), "", VLOOKUP(E213&amp;"|"&amp;H213&amp;"", DB!$A:$N, 6, FALSE)), ""))</f>
        <v/>
      </c>
      <c r="K213" s="35"/>
      <c r="L213" s="35"/>
      <c r="M213" s="35"/>
      <c r="N213" s="35" t="str">
        <f t="shared" si="3"/>
        <v/>
      </c>
      <c r="O213" s="34"/>
      <c r="P213" s="34"/>
      <c r="Q213" s="34"/>
      <c r="R213" s="34"/>
      <c r="S213" s="34"/>
      <c r="T213" s="34"/>
      <c r="U213" s="34"/>
      <c r="V213" s="34"/>
    </row>
    <row r="214" spans="1:22">
      <c r="A214" s="35"/>
      <c r="B214" s="3"/>
      <c r="C214" s="35"/>
      <c r="D214" s="34"/>
      <c r="E214" s="34"/>
      <c r="F214" s="35"/>
      <c r="G214" s="35"/>
      <c r="H214" s="3"/>
      <c r="I214" s="35"/>
      <c r="J214" s="35" t="str">
        <f>IF(OR(TRIM(E214)="", TRIM(H214)=""), "", IFERROR(IF(OR(VLOOKUP(E214&amp;"|"&amp;H214&amp;"", DB!$A:$N, 6, FALSE)="", VLOOKUP(E214&amp;"|"&amp;H214&amp;"", DB!$A:$N, 6, FALSE)="-"), "", VLOOKUP(E214&amp;"|"&amp;H214&amp;"", DB!$A:$N, 6, FALSE)), ""))</f>
        <v/>
      </c>
      <c r="K214" s="35"/>
      <c r="L214" s="35"/>
      <c r="M214" s="35"/>
      <c r="N214" s="35" t="str">
        <f t="shared" si="3"/>
        <v/>
      </c>
      <c r="O214" s="34"/>
      <c r="P214" s="34"/>
      <c r="Q214" s="34"/>
      <c r="R214" s="34"/>
      <c r="S214" s="34"/>
      <c r="T214" s="34"/>
      <c r="U214" s="34"/>
      <c r="V214" s="34"/>
    </row>
    <row r="215" spans="1:22">
      <c r="A215" s="35"/>
      <c r="B215" s="3"/>
      <c r="C215" s="35"/>
      <c r="D215" s="34"/>
      <c r="E215" s="34"/>
      <c r="F215" s="35"/>
      <c r="G215" s="35"/>
      <c r="H215" s="3"/>
      <c r="I215" s="35"/>
      <c r="J215" s="35" t="str">
        <f>IF(OR(TRIM(E215)="", TRIM(H215)=""), "", IFERROR(IF(OR(VLOOKUP(E215&amp;"|"&amp;H215&amp;"", DB!$A:$N, 6, FALSE)="", VLOOKUP(E215&amp;"|"&amp;H215&amp;"", DB!$A:$N, 6, FALSE)="-"), "", VLOOKUP(E215&amp;"|"&amp;H215&amp;"", DB!$A:$N, 6, FALSE)), ""))</f>
        <v/>
      </c>
      <c r="K215" s="35"/>
      <c r="L215" s="35"/>
      <c r="M215" s="35"/>
      <c r="N215" s="35" t="str">
        <f t="shared" si="3"/>
        <v/>
      </c>
      <c r="O215" s="34"/>
      <c r="P215" s="34"/>
      <c r="Q215" s="34"/>
      <c r="R215" s="34"/>
      <c r="S215" s="34"/>
      <c r="T215" s="34"/>
      <c r="U215" s="34"/>
      <c r="V215" s="34"/>
    </row>
    <row r="216" spans="1:22">
      <c r="A216" s="35"/>
      <c r="B216" s="3"/>
      <c r="C216" s="35"/>
      <c r="D216" s="34"/>
      <c r="E216" s="34"/>
      <c r="F216" s="35"/>
      <c r="G216" s="35"/>
      <c r="H216" s="3"/>
      <c r="I216" s="35"/>
      <c r="J216" s="35" t="str">
        <f>IF(OR(TRIM(E216)="", TRIM(H216)=""), "", IFERROR(IF(OR(VLOOKUP(E216&amp;"|"&amp;H216&amp;"", DB!$A:$N, 6, FALSE)="", VLOOKUP(E216&amp;"|"&amp;H216&amp;"", DB!$A:$N, 6, FALSE)="-"), "", VLOOKUP(E216&amp;"|"&amp;H216&amp;"", DB!$A:$N, 6, FALSE)), ""))</f>
        <v/>
      </c>
      <c r="K216" s="35"/>
      <c r="L216" s="35"/>
      <c r="M216" s="35"/>
      <c r="N216" s="35" t="str">
        <f t="shared" si="3"/>
        <v/>
      </c>
      <c r="O216" s="34"/>
      <c r="P216" s="34"/>
      <c r="Q216" s="34"/>
      <c r="R216" s="34"/>
      <c r="S216" s="34"/>
      <c r="T216" s="34"/>
      <c r="U216" s="34"/>
      <c r="V216" s="34"/>
    </row>
    <row r="217" spans="1:22">
      <c r="A217" s="35"/>
      <c r="B217" s="3"/>
      <c r="C217" s="35"/>
      <c r="D217" s="34"/>
      <c r="E217" s="34"/>
      <c r="F217" s="35"/>
      <c r="G217" s="35"/>
      <c r="H217" s="3"/>
      <c r="I217" s="35"/>
      <c r="J217" s="35" t="str">
        <f>IF(OR(TRIM(E217)="", TRIM(H217)=""), "", IFERROR(IF(OR(VLOOKUP(E217&amp;"|"&amp;H217&amp;"", DB!$A:$N, 6, FALSE)="", VLOOKUP(E217&amp;"|"&amp;H217&amp;"", DB!$A:$N, 6, FALSE)="-"), "", VLOOKUP(E217&amp;"|"&amp;H217&amp;"", DB!$A:$N, 6, FALSE)), ""))</f>
        <v/>
      </c>
      <c r="K217" s="35"/>
      <c r="L217" s="35"/>
      <c r="M217" s="35"/>
      <c r="N217" s="35" t="str">
        <f t="shared" si="3"/>
        <v/>
      </c>
      <c r="O217" s="34"/>
      <c r="P217" s="34"/>
      <c r="Q217" s="34"/>
      <c r="R217" s="34"/>
      <c r="S217" s="34"/>
      <c r="T217" s="34"/>
      <c r="U217" s="34"/>
      <c r="V217" s="34"/>
    </row>
    <row r="218" spans="1:22">
      <c r="A218" s="35"/>
      <c r="B218" s="3"/>
      <c r="C218" s="35"/>
      <c r="D218" s="34"/>
      <c r="E218" s="34"/>
      <c r="F218" s="35"/>
      <c r="G218" s="35"/>
      <c r="H218" s="3"/>
      <c r="I218" s="35"/>
      <c r="J218" s="35" t="str">
        <f>IF(OR(TRIM(E218)="", TRIM(H218)=""), "", IFERROR(IF(OR(VLOOKUP(E218&amp;"|"&amp;H218&amp;"", DB!$A:$N, 6, FALSE)="", VLOOKUP(E218&amp;"|"&amp;H218&amp;"", DB!$A:$N, 6, FALSE)="-"), "", VLOOKUP(E218&amp;"|"&amp;H218&amp;"", DB!$A:$N, 6, FALSE)), ""))</f>
        <v/>
      </c>
      <c r="K218" s="35"/>
      <c r="L218" s="35"/>
      <c r="M218" s="35"/>
      <c r="N218" s="35" t="str">
        <f t="shared" si="3"/>
        <v/>
      </c>
      <c r="O218" s="34"/>
      <c r="P218" s="34"/>
      <c r="Q218" s="34"/>
      <c r="R218" s="34"/>
      <c r="S218" s="34"/>
      <c r="T218" s="34"/>
      <c r="U218" s="34"/>
      <c r="V218" s="34"/>
    </row>
    <row r="219" spans="1:22">
      <c r="A219" s="35"/>
      <c r="B219" s="3"/>
      <c r="C219" s="35"/>
      <c r="D219" s="34"/>
      <c r="E219" s="34"/>
      <c r="F219" s="35"/>
      <c r="G219" s="35"/>
      <c r="H219" s="3"/>
      <c r="I219" s="35"/>
      <c r="J219" s="35" t="str">
        <f>IF(OR(TRIM(E219)="", TRIM(H219)=""), "", IFERROR(IF(OR(VLOOKUP(E219&amp;"|"&amp;H219&amp;"", DB!$A:$N, 6, FALSE)="", VLOOKUP(E219&amp;"|"&amp;H219&amp;"", DB!$A:$N, 6, FALSE)="-"), "", VLOOKUP(E219&amp;"|"&amp;H219&amp;"", DB!$A:$N, 6, FALSE)), ""))</f>
        <v/>
      </c>
      <c r="K219" s="35"/>
      <c r="L219" s="35"/>
      <c r="M219" s="35"/>
      <c r="N219" s="35" t="str">
        <f t="shared" si="3"/>
        <v/>
      </c>
      <c r="O219" s="34"/>
      <c r="P219" s="34"/>
      <c r="Q219" s="34"/>
      <c r="R219" s="34"/>
      <c r="S219" s="34"/>
      <c r="T219" s="34"/>
      <c r="U219" s="34"/>
      <c r="V219" s="34"/>
    </row>
    <row r="220" spans="1:22">
      <c r="A220" s="35"/>
      <c r="B220" s="3"/>
      <c r="C220" s="35"/>
      <c r="D220" s="34"/>
      <c r="E220" s="34"/>
      <c r="F220" s="35"/>
      <c r="G220" s="35"/>
      <c r="H220" s="3"/>
      <c r="I220" s="35"/>
      <c r="J220" s="35" t="str">
        <f>IF(OR(TRIM(E220)="", TRIM(H220)=""), "", IFERROR(IF(OR(VLOOKUP(E220&amp;"|"&amp;H220&amp;"", DB!$A:$N, 6, FALSE)="", VLOOKUP(E220&amp;"|"&amp;H220&amp;"", DB!$A:$N, 6, FALSE)="-"), "", VLOOKUP(E220&amp;"|"&amp;H220&amp;"", DB!$A:$N, 6, FALSE)), ""))</f>
        <v/>
      </c>
      <c r="K220" s="35"/>
      <c r="L220" s="35"/>
      <c r="M220" s="35"/>
      <c r="N220" s="35" t="str">
        <f t="shared" si="3"/>
        <v/>
      </c>
      <c r="O220" s="34"/>
      <c r="P220" s="34"/>
      <c r="Q220" s="34"/>
      <c r="R220" s="34"/>
      <c r="S220" s="34"/>
      <c r="T220" s="34"/>
      <c r="U220" s="34"/>
      <c r="V220" s="34"/>
    </row>
    <row r="221" spans="1:22">
      <c r="A221" s="35"/>
      <c r="B221" s="3"/>
      <c r="C221" s="35"/>
      <c r="D221" s="34"/>
      <c r="E221" s="34"/>
      <c r="F221" s="35"/>
      <c r="G221" s="35"/>
      <c r="H221" s="3"/>
      <c r="I221" s="35"/>
      <c r="J221" s="35" t="str">
        <f>IF(OR(TRIM(E221)="", TRIM(H221)=""), "", IFERROR(IF(OR(VLOOKUP(E221&amp;"|"&amp;H221&amp;"", DB!$A:$N, 6, FALSE)="", VLOOKUP(E221&amp;"|"&amp;H221&amp;"", DB!$A:$N, 6, FALSE)="-"), "", VLOOKUP(E221&amp;"|"&amp;H221&amp;"", DB!$A:$N, 6, FALSE)), ""))</f>
        <v/>
      </c>
      <c r="K221" s="35"/>
      <c r="L221" s="35"/>
      <c r="M221" s="35"/>
      <c r="N221" s="35" t="str">
        <f t="shared" si="3"/>
        <v/>
      </c>
      <c r="O221" s="34"/>
      <c r="P221" s="34"/>
      <c r="Q221" s="34"/>
      <c r="R221" s="34"/>
      <c r="S221" s="34"/>
      <c r="T221" s="34"/>
      <c r="U221" s="34"/>
      <c r="V221" s="34"/>
    </row>
    <row r="222" spans="1:22">
      <c r="A222" s="35"/>
      <c r="B222" s="3"/>
      <c r="C222" s="35"/>
      <c r="D222" s="34"/>
      <c r="E222" s="34"/>
      <c r="F222" s="35"/>
      <c r="G222" s="35"/>
      <c r="H222" s="3"/>
      <c r="I222" s="35"/>
      <c r="J222" s="35" t="str">
        <f>IF(OR(TRIM(E222)="", TRIM(H222)=""), "", IFERROR(IF(OR(VLOOKUP(E222&amp;"|"&amp;H222&amp;"", DB!$A:$N, 6, FALSE)="", VLOOKUP(E222&amp;"|"&amp;H222&amp;"", DB!$A:$N, 6, FALSE)="-"), "", VLOOKUP(E222&amp;"|"&amp;H222&amp;"", DB!$A:$N, 6, FALSE)), ""))</f>
        <v/>
      </c>
      <c r="K222" s="35"/>
      <c r="L222" s="35"/>
      <c r="M222" s="35"/>
      <c r="N222" s="35" t="str">
        <f t="shared" si="3"/>
        <v/>
      </c>
      <c r="O222" s="34"/>
      <c r="P222" s="34"/>
      <c r="Q222" s="34"/>
      <c r="R222" s="34"/>
      <c r="S222" s="34"/>
      <c r="T222" s="34"/>
      <c r="U222" s="34"/>
      <c r="V222" s="34"/>
    </row>
    <row r="223" spans="1:22">
      <c r="A223" s="35"/>
      <c r="B223" s="3"/>
      <c r="C223" s="35"/>
      <c r="D223" s="34"/>
      <c r="E223" s="34"/>
      <c r="F223" s="35"/>
      <c r="G223" s="35"/>
      <c r="H223" s="3"/>
      <c r="I223" s="35"/>
      <c r="J223" s="35" t="str">
        <f>IF(OR(TRIM(E223)="", TRIM(H223)=""), "", IFERROR(IF(OR(VLOOKUP(E223&amp;"|"&amp;H223&amp;"", DB!$A:$N, 6, FALSE)="", VLOOKUP(E223&amp;"|"&amp;H223&amp;"", DB!$A:$N, 6, FALSE)="-"), "", VLOOKUP(E223&amp;"|"&amp;H223&amp;"", DB!$A:$N, 6, FALSE)), ""))</f>
        <v/>
      </c>
      <c r="K223" s="35"/>
      <c r="L223" s="35"/>
      <c r="M223" s="35"/>
      <c r="N223" s="35" t="str">
        <f t="shared" si="3"/>
        <v/>
      </c>
      <c r="O223" s="34"/>
      <c r="P223" s="34"/>
      <c r="Q223" s="34"/>
      <c r="R223" s="34"/>
      <c r="S223" s="34"/>
      <c r="T223" s="34"/>
      <c r="U223" s="34"/>
      <c r="V223" s="34"/>
    </row>
    <row r="224" spans="1:22">
      <c r="A224" s="35"/>
      <c r="B224" s="3"/>
      <c r="C224" s="35"/>
      <c r="D224" s="34"/>
      <c r="E224" s="34"/>
      <c r="F224" s="35"/>
      <c r="G224" s="35"/>
      <c r="H224" s="3"/>
      <c r="I224" s="35"/>
      <c r="J224" s="35" t="str">
        <f>IF(OR(TRIM(E224)="", TRIM(H224)=""), "", IFERROR(IF(OR(VLOOKUP(E224&amp;"|"&amp;H224&amp;"", DB!$A:$N, 6, FALSE)="", VLOOKUP(E224&amp;"|"&amp;H224&amp;"", DB!$A:$N, 6, FALSE)="-"), "", VLOOKUP(E224&amp;"|"&amp;H224&amp;"", DB!$A:$N, 6, FALSE)), ""))</f>
        <v/>
      </c>
      <c r="K224" s="35"/>
      <c r="L224" s="35"/>
      <c r="M224" s="35"/>
      <c r="N224" s="35" t="str">
        <f t="shared" si="3"/>
        <v/>
      </c>
      <c r="O224" s="34"/>
      <c r="P224" s="34"/>
      <c r="Q224" s="34"/>
      <c r="R224" s="34"/>
      <c r="S224" s="34"/>
      <c r="T224" s="34"/>
      <c r="U224" s="34"/>
      <c r="V224" s="34"/>
    </row>
    <row r="225" spans="1:22">
      <c r="A225" s="35"/>
      <c r="B225" s="3"/>
      <c r="C225" s="35"/>
      <c r="D225" s="34"/>
      <c r="E225" s="34"/>
      <c r="F225" s="35"/>
      <c r="G225" s="35"/>
      <c r="H225" s="3"/>
      <c r="I225" s="35"/>
      <c r="J225" s="35" t="str">
        <f>IF(OR(TRIM(E225)="", TRIM(H225)=""), "", IFERROR(IF(OR(VLOOKUP(E225&amp;"|"&amp;H225&amp;"", DB!$A:$N, 6, FALSE)="", VLOOKUP(E225&amp;"|"&amp;H225&amp;"", DB!$A:$N, 6, FALSE)="-"), "", VLOOKUP(E225&amp;"|"&amp;H225&amp;"", DB!$A:$N, 6, FALSE)), ""))</f>
        <v/>
      </c>
      <c r="K225" s="35"/>
      <c r="L225" s="35"/>
      <c r="M225" s="35"/>
      <c r="N225" s="35" t="str">
        <f t="shared" si="3"/>
        <v/>
      </c>
      <c r="O225" s="34"/>
      <c r="P225" s="34"/>
      <c r="Q225" s="34"/>
      <c r="R225" s="34"/>
      <c r="S225" s="34"/>
      <c r="T225" s="34"/>
      <c r="U225" s="34"/>
      <c r="V225" s="34"/>
    </row>
    <row r="226" spans="1:22">
      <c r="A226" s="35"/>
      <c r="B226" s="3"/>
      <c r="C226" s="35"/>
      <c r="D226" s="34"/>
      <c r="E226" s="34"/>
      <c r="F226" s="35"/>
      <c r="G226" s="35"/>
      <c r="H226" s="3"/>
      <c r="I226" s="35"/>
      <c r="J226" s="35" t="str">
        <f>IF(OR(TRIM(E226)="", TRIM(H226)=""), "", IFERROR(IF(OR(VLOOKUP(E226&amp;"|"&amp;H226&amp;"", DB!$A:$N, 6, FALSE)="", VLOOKUP(E226&amp;"|"&amp;H226&amp;"", DB!$A:$N, 6, FALSE)="-"), "", VLOOKUP(E226&amp;"|"&amp;H226&amp;"", DB!$A:$N, 6, FALSE)), ""))</f>
        <v/>
      </c>
      <c r="K226" s="35"/>
      <c r="L226" s="35"/>
      <c r="M226" s="35"/>
      <c r="N226" s="35" t="str">
        <f t="shared" si="3"/>
        <v/>
      </c>
      <c r="O226" s="34"/>
      <c r="P226" s="34"/>
      <c r="Q226" s="34"/>
      <c r="R226" s="34"/>
      <c r="S226" s="34"/>
      <c r="T226" s="34"/>
      <c r="U226" s="34"/>
      <c r="V226" s="34"/>
    </row>
    <row r="227" spans="1:22">
      <c r="A227" s="35"/>
      <c r="B227" s="3"/>
      <c r="C227" s="35"/>
      <c r="D227" s="34"/>
      <c r="E227" s="34"/>
      <c r="F227" s="35"/>
      <c r="G227" s="35"/>
      <c r="H227" s="3"/>
      <c r="I227" s="35"/>
      <c r="J227" s="35" t="str">
        <f>IF(OR(TRIM(E227)="", TRIM(H227)=""), "", IFERROR(IF(OR(VLOOKUP(E227&amp;"|"&amp;H227&amp;"", DB!$A:$N, 6, FALSE)="", VLOOKUP(E227&amp;"|"&amp;H227&amp;"", DB!$A:$N, 6, FALSE)="-"), "", VLOOKUP(E227&amp;"|"&amp;H227&amp;"", DB!$A:$N, 6, FALSE)), ""))</f>
        <v/>
      </c>
      <c r="K227" s="35"/>
      <c r="L227" s="35"/>
      <c r="M227" s="35"/>
      <c r="N227" s="35" t="str">
        <f t="shared" si="3"/>
        <v/>
      </c>
      <c r="O227" s="34"/>
      <c r="P227" s="34"/>
      <c r="Q227" s="34"/>
      <c r="R227" s="34"/>
      <c r="S227" s="34"/>
      <c r="T227" s="34"/>
      <c r="U227" s="34"/>
      <c r="V227" s="34"/>
    </row>
    <row r="228" spans="1:22">
      <c r="A228" s="35"/>
      <c r="B228" s="3"/>
      <c r="C228" s="35"/>
      <c r="D228" s="34"/>
      <c r="E228" s="34"/>
      <c r="F228" s="35"/>
      <c r="G228" s="35"/>
      <c r="H228" s="3"/>
      <c r="I228" s="35"/>
      <c r="J228" s="35" t="str">
        <f>IF(OR(TRIM(E228)="", TRIM(H228)=""), "", IFERROR(IF(OR(VLOOKUP(E228&amp;"|"&amp;H228&amp;"", DB!$A:$N, 6, FALSE)="", VLOOKUP(E228&amp;"|"&amp;H228&amp;"", DB!$A:$N, 6, FALSE)="-"), "", VLOOKUP(E228&amp;"|"&amp;H228&amp;"", DB!$A:$N, 6, FALSE)), ""))</f>
        <v/>
      </c>
      <c r="K228" s="35"/>
      <c r="L228" s="35"/>
      <c r="M228" s="35"/>
      <c r="N228" s="35" t="str">
        <f t="shared" si="3"/>
        <v/>
      </c>
      <c r="O228" s="34"/>
      <c r="P228" s="34"/>
      <c r="Q228" s="34"/>
      <c r="R228" s="34"/>
      <c r="S228" s="34"/>
      <c r="T228" s="34"/>
      <c r="U228" s="34"/>
      <c r="V228" s="34"/>
    </row>
    <row r="229" spans="1:22">
      <c r="A229" s="35"/>
      <c r="B229" s="3"/>
      <c r="C229" s="35"/>
      <c r="D229" s="34"/>
      <c r="E229" s="34"/>
      <c r="F229" s="35"/>
      <c r="G229" s="35"/>
      <c r="H229" s="3"/>
      <c r="I229" s="35"/>
      <c r="J229" s="35" t="str">
        <f>IF(OR(TRIM(E229)="", TRIM(H229)=""), "", IFERROR(IF(OR(VLOOKUP(E229&amp;"|"&amp;H229&amp;"", DB!$A:$N, 6, FALSE)="", VLOOKUP(E229&amp;"|"&amp;H229&amp;"", DB!$A:$N, 6, FALSE)="-"), "", VLOOKUP(E229&amp;"|"&amp;H229&amp;"", DB!$A:$N, 6, FALSE)), ""))</f>
        <v/>
      </c>
      <c r="K229" s="35"/>
      <c r="L229" s="35"/>
      <c r="M229" s="35"/>
      <c r="N229" s="35" t="str">
        <f t="shared" si="3"/>
        <v/>
      </c>
      <c r="O229" s="34"/>
      <c r="P229" s="34"/>
      <c r="Q229" s="34"/>
      <c r="R229" s="34"/>
      <c r="S229" s="34"/>
      <c r="T229" s="34"/>
      <c r="U229" s="34"/>
      <c r="V229" s="34"/>
    </row>
    <row r="230" spans="1:22">
      <c r="A230" s="35"/>
      <c r="B230" s="3"/>
      <c r="C230" s="35"/>
      <c r="D230" s="34"/>
      <c r="E230" s="34"/>
      <c r="F230" s="35"/>
      <c r="G230" s="35"/>
      <c r="H230" s="3"/>
      <c r="I230" s="35"/>
      <c r="J230" s="35" t="str">
        <f>IF(OR(TRIM(E230)="", TRIM(H230)=""), "", IFERROR(IF(OR(VLOOKUP(E230&amp;"|"&amp;H230&amp;"", DB!$A:$N, 6, FALSE)="", VLOOKUP(E230&amp;"|"&amp;H230&amp;"", DB!$A:$N, 6, FALSE)="-"), "", VLOOKUP(E230&amp;"|"&amp;H230&amp;"", DB!$A:$N, 6, FALSE)), ""))</f>
        <v/>
      </c>
      <c r="K230" s="35"/>
      <c r="L230" s="35"/>
      <c r="M230" s="35"/>
      <c r="N230" s="35" t="str">
        <f t="shared" si="3"/>
        <v/>
      </c>
      <c r="O230" s="34"/>
      <c r="P230" s="34"/>
      <c r="Q230" s="34"/>
      <c r="R230" s="34"/>
      <c r="S230" s="34"/>
      <c r="T230" s="34"/>
      <c r="U230" s="34"/>
      <c r="V230" s="34"/>
    </row>
    <row r="231" spans="1:22">
      <c r="A231" s="35"/>
      <c r="B231" s="3"/>
      <c r="C231" s="35"/>
      <c r="D231" s="34"/>
      <c r="E231" s="34"/>
      <c r="F231" s="35"/>
      <c r="G231" s="35"/>
      <c r="H231" s="3"/>
      <c r="I231" s="35"/>
      <c r="J231" s="35" t="str">
        <f>IF(OR(TRIM(E231)="", TRIM(H231)=""), "", IFERROR(IF(OR(VLOOKUP(E231&amp;"|"&amp;H231&amp;"", DB!$A:$N, 6, FALSE)="", VLOOKUP(E231&amp;"|"&amp;H231&amp;"", DB!$A:$N, 6, FALSE)="-"), "", VLOOKUP(E231&amp;"|"&amp;H231&amp;"", DB!$A:$N, 6, FALSE)), ""))</f>
        <v/>
      </c>
      <c r="K231" s="35"/>
      <c r="L231" s="35"/>
      <c r="M231" s="35"/>
      <c r="N231" s="35" t="str">
        <f t="shared" si="3"/>
        <v/>
      </c>
      <c r="O231" s="34"/>
      <c r="P231" s="34"/>
      <c r="Q231" s="34"/>
      <c r="R231" s="34"/>
      <c r="S231" s="34"/>
      <c r="T231" s="34"/>
      <c r="U231" s="34"/>
      <c r="V231" s="34"/>
    </row>
    <row r="232" spans="1:22">
      <c r="A232" s="35"/>
      <c r="B232" s="3"/>
      <c r="C232" s="35"/>
      <c r="D232" s="34"/>
      <c r="E232" s="34"/>
      <c r="F232" s="35"/>
      <c r="G232" s="35"/>
      <c r="H232" s="3"/>
      <c r="I232" s="35"/>
      <c r="J232" s="35" t="str">
        <f>IF(OR(TRIM(E232)="", TRIM(H232)=""), "", IFERROR(IF(OR(VLOOKUP(E232&amp;"|"&amp;H232&amp;"", DB!$A:$N, 6, FALSE)="", VLOOKUP(E232&amp;"|"&amp;H232&amp;"", DB!$A:$N, 6, FALSE)="-"), "", VLOOKUP(E232&amp;"|"&amp;H232&amp;"", DB!$A:$N, 6, FALSE)), ""))</f>
        <v/>
      </c>
      <c r="K232" s="35"/>
      <c r="L232" s="35"/>
      <c r="M232" s="35"/>
      <c r="N232" s="35" t="str">
        <f t="shared" si="3"/>
        <v/>
      </c>
      <c r="O232" s="34"/>
      <c r="P232" s="34"/>
      <c r="Q232" s="34"/>
      <c r="R232" s="34"/>
      <c r="S232" s="34"/>
      <c r="T232" s="34"/>
      <c r="U232" s="34"/>
      <c r="V232" s="34"/>
    </row>
    <row r="233" spans="1:22">
      <c r="A233" s="35"/>
      <c r="B233" s="3"/>
      <c r="C233" s="35"/>
      <c r="D233" s="34"/>
      <c r="E233" s="34"/>
      <c r="F233" s="35"/>
      <c r="G233" s="35"/>
      <c r="H233" s="3"/>
      <c r="I233" s="35"/>
      <c r="J233" s="35" t="str">
        <f>IF(OR(TRIM(E233)="", TRIM(H233)=""), "", IFERROR(IF(OR(VLOOKUP(E233&amp;"|"&amp;H233&amp;"", DB!$A:$N, 6, FALSE)="", VLOOKUP(E233&amp;"|"&amp;H233&amp;"", DB!$A:$N, 6, FALSE)="-"), "", VLOOKUP(E233&amp;"|"&amp;H233&amp;"", DB!$A:$N, 6, FALSE)), ""))</f>
        <v/>
      </c>
      <c r="K233" s="35"/>
      <c r="L233" s="35"/>
      <c r="M233" s="35"/>
      <c r="N233" s="35" t="str">
        <f t="shared" si="3"/>
        <v/>
      </c>
      <c r="O233" s="34"/>
      <c r="P233" s="34"/>
      <c r="Q233" s="34"/>
      <c r="R233" s="34"/>
      <c r="S233" s="34"/>
      <c r="T233" s="34"/>
      <c r="U233" s="34"/>
      <c r="V233" s="34"/>
    </row>
    <row r="234" spans="1:22">
      <c r="A234" s="35"/>
      <c r="B234" s="3"/>
      <c r="C234" s="35"/>
      <c r="D234" s="34"/>
      <c r="E234" s="34"/>
      <c r="F234" s="35"/>
      <c r="G234" s="35"/>
      <c r="H234" s="3"/>
      <c r="I234" s="35"/>
      <c r="J234" s="35" t="str">
        <f>IF(OR(TRIM(E234)="", TRIM(H234)=""), "", IFERROR(IF(OR(VLOOKUP(E234&amp;"|"&amp;H234&amp;"", DB!$A:$N, 6, FALSE)="", VLOOKUP(E234&amp;"|"&amp;H234&amp;"", DB!$A:$N, 6, FALSE)="-"), "", VLOOKUP(E234&amp;"|"&amp;H234&amp;"", DB!$A:$N, 6, FALSE)), ""))</f>
        <v/>
      </c>
      <c r="K234" s="35"/>
      <c r="L234" s="35"/>
      <c r="M234" s="35"/>
      <c r="N234" s="35" t="str">
        <f t="shared" si="3"/>
        <v/>
      </c>
      <c r="O234" s="34"/>
      <c r="P234" s="34"/>
      <c r="Q234" s="34"/>
      <c r="R234" s="34"/>
      <c r="S234" s="34"/>
      <c r="T234" s="34"/>
      <c r="U234" s="34"/>
      <c r="V234" s="34"/>
    </row>
    <row r="235" spans="1:22">
      <c r="A235" s="35"/>
      <c r="B235" s="3"/>
      <c r="C235" s="35"/>
      <c r="D235" s="34"/>
      <c r="E235" s="34"/>
      <c r="F235" s="35"/>
      <c r="G235" s="35"/>
      <c r="H235" s="3"/>
      <c r="I235" s="35"/>
      <c r="J235" s="35" t="str">
        <f>IF(OR(TRIM(E235)="", TRIM(H235)=""), "", IFERROR(IF(OR(VLOOKUP(E235&amp;"|"&amp;H235&amp;"", DB!$A:$N, 6, FALSE)="", VLOOKUP(E235&amp;"|"&amp;H235&amp;"", DB!$A:$N, 6, FALSE)="-"), "", VLOOKUP(E235&amp;"|"&amp;H235&amp;"", DB!$A:$N, 6, FALSE)), ""))</f>
        <v/>
      </c>
      <c r="K235" s="35"/>
      <c r="L235" s="35"/>
      <c r="M235" s="35"/>
      <c r="N235" s="35" t="str">
        <f t="shared" si="3"/>
        <v/>
      </c>
      <c r="O235" s="34"/>
      <c r="P235" s="34"/>
      <c r="Q235" s="34"/>
      <c r="R235" s="34"/>
      <c r="S235" s="34"/>
      <c r="T235" s="34"/>
      <c r="U235" s="34"/>
      <c r="V235" s="34"/>
    </row>
    <row r="236" spans="1:22">
      <c r="A236" s="35"/>
      <c r="B236" s="3"/>
      <c r="C236" s="35"/>
      <c r="D236" s="34"/>
      <c r="E236" s="34"/>
      <c r="F236" s="35"/>
      <c r="G236" s="35"/>
      <c r="H236" s="3"/>
      <c r="I236" s="35"/>
      <c r="J236" s="35" t="str">
        <f>IF(OR(TRIM(E236)="", TRIM(H236)=""), "", IFERROR(IF(OR(VLOOKUP(E236&amp;"|"&amp;H236&amp;"", DB!$A:$N, 6, FALSE)="", VLOOKUP(E236&amp;"|"&amp;H236&amp;"", DB!$A:$N, 6, FALSE)="-"), "", VLOOKUP(E236&amp;"|"&amp;H236&amp;"", DB!$A:$N, 6, FALSE)), ""))</f>
        <v/>
      </c>
      <c r="K236" s="35"/>
      <c r="L236" s="35"/>
      <c r="M236" s="35"/>
      <c r="N236" s="35" t="str">
        <f t="shared" si="3"/>
        <v/>
      </c>
      <c r="O236" s="34"/>
      <c r="P236" s="34"/>
      <c r="Q236" s="34"/>
      <c r="R236" s="34"/>
      <c r="S236" s="34"/>
      <c r="T236" s="34"/>
      <c r="U236" s="34"/>
      <c r="V236" s="34"/>
    </row>
    <row r="237" spans="1:22">
      <c r="A237" s="35"/>
      <c r="B237" s="3"/>
      <c r="C237" s="35"/>
      <c r="D237" s="34"/>
      <c r="E237" s="34"/>
      <c r="F237" s="35"/>
      <c r="G237" s="35"/>
      <c r="H237" s="3"/>
      <c r="I237" s="35"/>
      <c r="J237" s="35" t="str">
        <f>IF(OR(TRIM(E237)="", TRIM(H237)=""), "", IFERROR(IF(OR(VLOOKUP(E237&amp;"|"&amp;H237&amp;"", DB!$A:$N, 6, FALSE)="", VLOOKUP(E237&amp;"|"&amp;H237&amp;"", DB!$A:$N, 6, FALSE)="-"), "", VLOOKUP(E237&amp;"|"&amp;H237&amp;"", DB!$A:$N, 6, FALSE)), ""))</f>
        <v/>
      </c>
      <c r="K237" s="35"/>
      <c r="L237" s="35"/>
      <c r="M237" s="35"/>
      <c r="N237" s="35" t="str">
        <f t="shared" si="3"/>
        <v/>
      </c>
      <c r="O237" s="34"/>
      <c r="P237" s="34"/>
      <c r="Q237" s="34"/>
      <c r="R237" s="34"/>
      <c r="S237" s="34"/>
      <c r="T237" s="34"/>
      <c r="U237" s="34"/>
      <c r="V237" s="34"/>
    </row>
    <row r="238" spans="1:22">
      <c r="A238" s="35"/>
      <c r="B238" s="3"/>
      <c r="C238" s="35"/>
      <c r="D238" s="34"/>
      <c r="E238" s="34"/>
      <c r="F238" s="35"/>
      <c r="G238" s="35"/>
      <c r="H238" s="3"/>
      <c r="I238" s="35"/>
      <c r="J238" s="35" t="str">
        <f>IF(OR(TRIM(E238)="", TRIM(H238)=""), "", IFERROR(IF(OR(VLOOKUP(E238&amp;"|"&amp;H238&amp;"", DB!$A:$N, 6, FALSE)="", VLOOKUP(E238&amp;"|"&amp;H238&amp;"", DB!$A:$N, 6, FALSE)="-"), "", VLOOKUP(E238&amp;"|"&amp;H238&amp;"", DB!$A:$N, 6, FALSE)), ""))</f>
        <v/>
      </c>
      <c r="K238" s="35"/>
      <c r="L238" s="35"/>
      <c r="M238" s="35"/>
      <c r="N238" s="35" t="str">
        <f t="shared" si="3"/>
        <v/>
      </c>
      <c r="O238" s="34"/>
      <c r="P238" s="34"/>
      <c r="Q238" s="34"/>
      <c r="R238" s="34"/>
      <c r="S238" s="34"/>
      <c r="T238" s="34"/>
      <c r="U238" s="34"/>
      <c r="V238" s="34"/>
    </row>
    <row r="239" spans="1:22">
      <c r="A239" s="35"/>
      <c r="B239" s="3"/>
      <c r="C239" s="35"/>
      <c r="D239" s="34"/>
      <c r="E239" s="34"/>
      <c r="F239" s="35"/>
      <c r="G239" s="35"/>
      <c r="H239" s="3"/>
      <c r="I239" s="35"/>
      <c r="J239" s="35" t="str">
        <f>IF(OR(TRIM(E239)="", TRIM(H239)=""), "", IFERROR(IF(OR(VLOOKUP(E239&amp;"|"&amp;H239&amp;"", DB!$A:$N, 6, FALSE)="", VLOOKUP(E239&amp;"|"&amp;H239&amp;"", DB!$A:$N, 6, FALSE)="-"), "", VLOOKUP(E239&amp;"|"&amp;H239&amp;"", DB!$A:$N, 6, FALSE)), ""))</f>
        <v/>
      </c>
      <c r="K239" s="35"/>
      <c r="L239" s="35"/>
      <c r="M239" s="35"/>
      <c r="N239" s="35" t="str">
        <f t="shared" si="3"/>
        <v/>
      </c>
      <c r="O239" s="34"/>
      <c r="P239" s="34"/>
      <c r="Q239" s="34"/>
      <c r="R239" s="34"/>
      <c r="S239" s="34"/>
      <c r="T239" s="34"/>
      <c r="U239" s="34"/>
      <c r="V239" s="34"/>
    </row>
    <row r="240" spans="1:22">
      <c r="A240" s="35"/>
      <c r="B240" s="3"/>
      <c r="C240" s="35"/>
      <c r="D240" s="34"/>
      <c r="E240" s="34"/>
      <c r="F240" s="35"/>
      <c r="G240" s="35"/>
      <c r="H240" s="3"/>
      <c r="I240" s="35"/>
      <c r="J240" s="35" t="str">
        <f>IF(OR(TRIM(E240)="", TRIM(H240)=""), "", IFERROR(IF(OR(VLOOKUP(E240&amp;"|"&amp;H240&amp;"", DB!$A:$N, 6, FALSE)="", VLOOKUP(E240&amp;"|"&amp;H240&amp;"", DB!$A:$N, 6, FALSE)="-"), "", VLOOKUP(E240&amp;"|"&amp;H240&amp;"", DB!$A:$N, 6, FALSE)), ""))</f>
        <v/>
      </c>
      <c r="K240" s="35"/>
      <c r="L240" s="35"/>
      <c r="M240" s="35"/>
      <c r="N240" s="35" t="str">
        <f t="shared" si="3"/>
        <v/>
      </c>
      <c r="O240" s="34"/>
      <c r="P240" s="34"/>
      <c r="Q240" s="34"/>
      <c r="R240" s="34"/>
      <c r="S240" s="34"/>
      <c r="T240" s="34"/>
      <c r="U240" s="34"/>
      <c r="V240" s="34"/>
    </row>
    <row r="241" spans="1:22">
      <c r="A241" s="35"/>
      <c r="B241" s="3"/>
      <c r="C241" s="35"/>
      <c r="D241" s="34"/>
      <c r="E241" s="34"/>
      <c r="F241" s="35"/>
      <c r="G241" s="35"/>
      <c r="H241" s="3"/>
      <c r="I241" s="35"/>
      <c r="J241" s="35" t="str">
        <f>IF(OR(TRIM(E241)="", TRIM(H241)=""), "", IFERROR(IF(OR(VLOOKUP(E241&amp;"|"&amp;H241&amp;"", DB!$A:$N, 6, FALSE)="", VLOOKUP(E241&amp;"|"&amp;H241&amp;"", DB!$A:$N, 6, FALSE)="-"), "", VLOOKUP(E241&amp;"|"&amp;H241&amp;"", DB!$A:$N, 6, FALSE)), ""))</f>
        <v/>
      </c>
      <c r="K241" s="35"/>
      <c r="L241" s="35"/>
      <c r="M241" s="35"/>
      <c r="N241" s="35" t="str">
        <f t="shared" si="3"/>
        <v/>
      </c>
      <c r="O241" s="34"/>
      <c r="P241" s="34"/>
      <c r="Q241" s="34"/>
      <c r="R241" s="34"/>
      <c r="S241" s="34"/>
      <c r="T241" s="34"/>
      <c r="U241" s="34"/>
      <c r="V241" s="34"/>
    </row>
    <row r="242" spans="1:22">
      <c r="A242" s="35"/>
      <c r="B242" s="3"/>
      <c r="C242" s="35"/>
      <c r="D242" s="34"/>
      <c r="E242" s="34"/>
      <c r="F242" s="35"/>
      <c r="G242" s="35"/>
      <c r="H242" s="3"/>
      <c r="I242" s="35"/>
      <c r="J242" s="35" t="str">
        <f>IF(OR(TRIM(E242)="", TRIM(H242)=""), "", IFERROR(IF(OR(VLOOKUP(E242&amp;"|"&amp;H242&amp;"", DB!$A:$N, 6, FALSE)="", VLOOKUP(E242&amp;"|"&amp;H242&amp;"", DB!$A:$N, 6, FALSE)="-"), "", VLOOKUP(E242&amp;"|"&amp;H242&amp;"", DB!$A:$N, 6, FALSE)), ""))</f>
        <v/>
      </c>
      <c r="K242" s="35"/>
      <c r="L242" s="35"/>
      <c r="M242" s="35"/>
      <c r="N242" s="35" t="str">
        <f t="shared" si="3"/>
        <v/>
      </c>
      <c r="O242" s="34"/>
      <c r="P242" s="34"/>
      <c r="Q242" s="34"/>
      <c r="R242" s="34"/>
      <c r="S242" s="34"/>
      <c r="T242" s="34"/>
      <c r="U242" s="34"/>
      <c r="V242" s="34"/>
    </row>
    <row r="243" spans="1:22">
      <c r="A243" s="35"/>
      <c r="B243" s="3"/>
      <c r="C243" s="35"/>
      <c r="D243" s="34"/>
      <c r="E243" s="34"/>
      <c r="F243" s="35"/>
      <c r="G243" s="35"/>
      <c r="H243" s="3"/>
      <c r="I243" s="35"/>
      <c r="J243" s="35" t="str">
        <f>IF(OR(TRIM(E243)="", TRIM(H243)=""), "", IFERROR(IF(OR(VLOOKUP(E243&amp;"|"&amp;H243&amp;"", DB!$A:$N, 6, FALSE)="", VLOOKUP(E243&amp;"|"&amp;H243&amp;"", DB!$A:$N, 6, FALSE)="-"), "", VLOOKUP(E243&amp;"|"&amp;H243&amp;"", DB!$A:$N, 6, FALSE)), ""))</f>
        <v/>
      </c>
      <c r="K243" s="35"/>
      <c r="L243" s="35"/>
      <c r="M243" s="35"/>
      <c r="N243" s="35" t="str">
        <f t="shared" si="3"/>
        <v/>
      </c>
      <c r="O243" s="34"/>
      <c r="P243" s="34"/>
      <c r="Q243" s="34"/>
      <c r="R243" s="34"/>
      <c r="S243" s="34"/>
      <c r="T243" s="34"/>
      <c r="U243" s="34"/>
      <c r="V243" s="34"/>
    </row>
    <row r="244" spans="1:22">
      <c r="A244" s="35"/>
      <c r="B244" s="3"/>
      <c r="C244" s="35"/>
      <c r="D244" s="34"/>
      <c r="E244" s="34"/>
      <c r="F244" s="35"/>
      <c r="G244" s="35"/>
      <c r="H244" s="3"/>
      <c r="I244" s="35"/>
      <c r="J244" s="35" t="str">
        <f>IF(OR(TRIM(E244)="", TRIM(H244)=""), "", IFERROR(IF(OR(VLOOKUP(E244&amp;"|"&amp;H244&amp;"", DB!$A:$N, 6, FALSE)="", VLOOKUP(E244&amp;"|"&amp;H244&amp;"", DB!$A:$N, 6, FALSE)="-"), "", VLOOKUP(E244&amp;"|"&amp;H244&amp;"", DB!$A:$N, 6, FALSE)), ""))</f>
        <v/>
      </c>
      <c r="K244" s="35"/>
      <c r="L244" s="35"/>
      <c r="M244" s="35"/>
      <c r="N244" s="35" t="str">
        <f t="shared" si="3"/>
        <v/>
      </c>
      <c r="O244" s="34"/>
      <c r="P244" s="34"/>
      <c r="Q244" s="34"/>
      <c r="R244" s="34"/>
      <c r="S244" s="34"/>
      <c r="T244" s="34"/>
      <c r="U244" s="34"/>
      <c r="V244" s="34"/>
    </row>
    <row r="245" spans="1:22">
      <c r="A245" s="35"/>
      <c r="B245" s="3"/>
      <c r="C245" s="35"/>
      <c r="D245" s="34"/>
      <c r="E245" s="34"/>
      <c r="F245" s="35"/>
      <c r="G245" s="35"/>
      <c r="H245" s="3"/>
      <c r="I245" s="35"/>
      <c r="J245" s="35" t="str">
        <f>IF(OR(TRIM(E245)="", TRIM(H245)=""), "", IFERROR(IF(OR(VLOOKUP(E245&amp;"|"&amp;H245&amp;"", DB!$A:$N, 6, FALSE)="", VLOOKUP(E245&amp;"|"&amp;H245&amp;"", DB!$A:$N, 6, FALSE)="-"), "", VLOOKUP(E245&amp;"|"&amp;H245&amp;"", DB!$A:$N, 6, FALSE)), ""))</f>
        <v/>
      </c>
      <c r="K245" s="35"/>
      <c r="L245" s="35"/>
      <c r="M245" s="35"/>
      <c r="N245" s="35" t="str">
        <f t="shared" si="3"/>
        <v/>
      </c>
      <c r="O245" s="34"/>
      <c r="P245" s="34"/>
      <c r="Q245" s="34"/>
      <c r="R245" s="34"/>
      <c r="S245" s="34"/>
      <c r="T245" s="34"/>
      <c r="U245" s="34"/>
      <c r="V245" s="34"/>
    </row>
    <row r="246" spans="1:22">
      <c r="A246" s="35"/>
      <c r="B246" s="3"/>
      <c r="C246" s="35"/>
      <c r="D246" s="34"/>
      <c r="E246" s="34"/>
      <c r="F246" s="35"/>
      <c r="G246" s="35"/>
      <c r="H246" s="3"/>
      <c r="I246" s="35"/>
      <c r="J246" s="35" t="str">
        <f>IF(OR(TRIM(E246)="", TRIM(H246)=""), "", IFERROR(IF(OR(VLOOKUP(E246&amp;"|"&amp;H246&amp;"", DB!$A:$N, 6, FALSE)="", VLOOKUP(E246&amp;"|"&amp;H246&amp;"", DB!$A:$N, 6, FALSE)="-"), "", VLOOKUP(E246&amp;"|"&amp;H246&amp;"", DB!$A:$N, 6, FALSE)), ""))</f>
        <v/>
      </c>
      <c r="K246" s="35"/>
      <c r="L246" s="35"/>
      <c r="M246" s="35"/>
      <c r="N246" s="35" t="str">
        <f t="shared" si="3"/>
        <v/>
      </c>
      <c r="O246" s="34"/>
      <c r="P246" s="34"/>
      <c r="Q246" s="34"/>
      <c r="R246" s="34"/>
      <c r="S246" s="34"/>
      <c r="T246" s="34"/>
      <c r="U246" s="34"/>
      <c r="V246" s="34"/>
    </row>
    <row r="247" spans="1:22">
      <c r="A247" s="35"/>
      <c r="B247" s="3"/>
      <c r="C247" s="35"/>
      <c r="D247" s="34"/>
      <c r="E247" s="34"/>
      <c r="F247" s="35"/>
      <c r="G247" s="35"/>
      <c r="H247" s="3"/>
      <c r="I247" s="35"/>
      <c r="J247" s="35" t="str">
        <f>IF(OR(TRIM(E247)="", TRIM(H247)=""), "", IFERROR(IF(OR(VLOOKUP(E247&amp;"|"&amp;H247&amp;"", DB!$A:$N, 6, FALSE)="", VLOOKUP(E247&amp;"|"&amp;H247&amp;"", DB!$A:$N, 6, FALSE)="-"), "", VLOOKUP(E247&amp;"|"&amp;H247&amp;"", DB!$A:$N, 6, FALSE)), ""))</f>
        <v/>
      </c>
      <c r="K247" s="35"/>
      <c r="L247" s="35"/>
      <c r="M247" s="35"/>
      <c r="N247" s="35" t="str">
        <f t="shared" si="3"/>
        <v/>
      </c>
      <c r="O247" s="34"/>
      <c r="P247" s="34"/>
      <c r="Q247" s="34"/>
      <c r="R247" s="34"/>
      <c r="S247" s="34"/>
      <c r="T247" s="34"/>
      <c r="U247" s="34"/>
      <c r="V247" s="34"/>
    </row>
    <row r="248" spans="1:22">
      <c r="A248" s="35"/>
      <c r="B248" s="3"/>
      <c r="C248" s="35"/>
      <c r="D248" s="34"/>
      <c r="E248" s="34"/>
      <c r="F248" s="35"/>
      <c r="G248" s="35"/>
      <c r="H248" s="3"/>
      <c r="I248" s="35"/>
      <c r="J248" s="35" t="str">
        <f>IF(OR(TRIM(E248)="", TRIM(H248)=""), "", IFERROR(IF(OR(VLOOKUP(E248&amp;"|"&amp;H248&amp;"", DB!$A:$N, 6, FALSE)="", VLOOKUP(E248&amp;"|"&amp;H248&amp;"", DB!$A:$N, 6, FALSE)="-"), "", VLOOKUP(E248&amp;"|"&amp;H248&amp;"", DB!$A:$N, 6, FALSE)), ""))</f>
        <v/>
      </c>
      <c r="K248" s="35"/>
      <c r="L248" s="35"/>
      <c r="M248" s="35"/>
      <c r="N248" s="35" t="str">
        <f t="shared" si="3"/>
        <v/>
      </c>
      <c r="O248" s="34"/>
      <c r="P248" s="34"/>
      <c r="Q248" s="34"/>
      <c r="R248" s="34"/>
      <c r="S248" s="34"/>
      <c r="T248" s="34"/>
      <c r="U248" s="34"/>
      <c r="V248" s="34"/>
    </row>
    <row r="249" spans="1:22">
      <c r="A249" s="35"/>
      <c r="B249" s="3"/>
      <c r="C249" s="35"/>
      <c r="D249" s="34"/>
      <c r="E249" s="34"/>
      <c r="F249" s="35"/>
      <c r="G249" s="35"/>
      <c r="H249" s="3"/>
      <c r="I249" s="35"/>
      <c r="J249" s="35" t="str">
        <f>IF(OR(TRIM(E249)="", TRIM(H249)=""), "", IFERROR(IF(OR(VLOOKUP(E249&amp;"|"&amp;H249&amp;"", DB!$A:$N, 6, FALSE)="", VLOOKUP(E249&amp;"|"&amp;H249&amp;"", DB!$A:$N, 6, FALSE)="-"), "", VLOOKUP(E249&amp;"|"&amp;H249&amp;"", DB!$A:$N, 6, FALSE)), ""))</f>
        <v/>
      </c>
      <c r="K249" s="35"/>
      <c r="L249" s="35"/>
      <c r="M249" s="35"/>
      <c r="N249" s="35" t="str">
        <f t="shared" si="3"/>
        <v/>
      </c>
      <c r="O249" s="34"/>
      <c r="P249" s="34"/>
      <c r="Q249" s="34"/>
      <c r="R249" s="34"/>
      <c r="S249" s="34"/>
      <c r="T249" s="34"/>
      <c r="U249" s="34"/>
      <c r="V249" s="34"/>
    </row>
    <row r="250" spans="1:22">
      <c r="A250" s="35"/>
      <c r="B250" s="3"/>
      <c r="C250" s="35"/>
      <c r="D250" s="34"/>
      <c r="E250" s="34"/>
      <c r="F250" s="35"/>
      <c r="G250" s="35"/>
      <c r="H250" s="3"/>
      <c r="I250" s="35"/>
      <c r="J250" s="35" t="str">
        <f>IF(OR(TRIM(E250)="", TRIM(H250)=""), "", IFERROR(IF(OR(VLOOKUP(E250&amp;"|"&amp;H250&amp;"", DB!$A:$N, 6, FALSE)="", VLOOKUP(E250&amp;"|"&amp;H250&amp;"", DB!$A:$N, 6, FALSE)="-"), "", VLOOKUP(E250&amp;"|"&amp;H250&amp;"", DB!$A:$N, 6, FALSE)), ""))</f>
        <v/>
      </c>
      <c r="K250" s="35"/>
      <c r="L250" s="35"/>
      <c r="M250" s="35"/>
      <c r="N250" s="35" t="str">
        <f t="shared" si="3"/>
        <v/>
      </c>
      <c r="O250" s="34"/>
      <c r="P250" s="34"/>
      <c r="Q250" s="34"/>
      <c r="R250" s="34"/>
      <c r="S250" s="34"/>
      <c r="T250" s="34"/>
      <c r="U250" s="34"/>
      <c r="V250" s="34"/>
    </row>
    <row r="251" spans="1:22">
      <c r="A251" s="35"/>
      <c r="B251" s="3"/>
      <c r="C251" s="35"/>
      <c r="D251" s="34"/>
      <c r="E251" s="34"/>
      <c r="F251" s="35"/>
      <c r="G251" s="35"/>
      <c r="H251" s="3"/>
      <c r="I251" s="35"/>
      <c r="J251" s="35" t="str">
        <f>IF(OR(TRIM(E251)="", TRIM(H251)=""), "", IFERROR(IF(OR(VLOOKUP(E251&amp;"|"&amp;H251&amp;"", DB!$A:$N, 6, FALSE)="", VLOOKUP(E251&amp;"|"&amp;H251&amp;"", DB!$A:$N, 6, FALSE)="-"), "", VLOOKUP(E251&amp;"|"&amp;H251&amp;"", DB!$A:$N, 6, FALSE)), ""))</f>
        <v/>
      </c>
      <c r="K251" s="35"/>
      <c r="L251" s="35"/>
      <c r="M251" s="35"/>
      <c r="N251" s="35" t="str">
        <f t="shared" si="3"/>
        <v/>
      </c>
      <c r="O251" s="34"/>
      <c r="P251" s="34"/>
      <c r="Q251" s="34"/>
      <c r="R251" s="34"/>
      <c r="S251" s="34"/>
      <c r="T251" s="34"/>
      <c r="U251" s="34"/>
      <c r="V251" s="34"/>
    </row>
    <row r="252" spans="1:22">
      <c r="A252" s="35"/>
      <c r="B252" s="3"/>
      <c r="C252" s="35"/>
      <c r="D252" s="34"/>
      <c r="E252" s="34"/>
      <c r="F252" s="35"/>
      <c r="G252" s="35"/>
      <c r="H252" s="3"/>
      <c r="I252" s="35"/>
      <c r="J252" s="35" t="str">
        <f>IF(OR(TRIM(E252)="", TRIM(H252)=""), "", IFERROR(IF(OR(VLOOKUP(E252&amp;"|"&amp;H252&amp;"", DB!$A:$N, 6, FALSE)="", VLOOKUP(E252&amp;"|"&amp;H252&amp;"", DB!$A:$N, 6, FALSE)="-"), "", VLOOKUP(E252&amp;"|"&amp;H252&amp;"", DB!$A:$N, 6, FALSE)), ""))</f>
        <v/>
      </c>
      <c r="K252" s="35"/>
      <c r="L252" s="35"/>
      <c r="M252" s="35"/>
      <c r="N252" s="35" t="str">
        <f t="shared" si="3"/>
        <v/>
      </c>
      <c r="O252" s="34"/>
      <c r="P252" s="34"/>
      <c r="Q252" s="34"/>
      <c r="R252" s="34"/>
      <c r="S252" s="34"/>
      <c r="T252" s="34"/>
      <c r="U252" s="34"/>
      <c r="V252" s="34"/>
    </row>
    <row r="253" spans="1:22">
      <c r="A253" s="35"/>
      <c r="B253" s="3"/>
      <c r="C253" s="35"/>
      <c r="D253" s="34"/>
      <c r="E253" s="34"/>
      <c r="F253" s="35"/>
      <c r="G253" s="35"/>
      <c r="H253" s="3"/>
      <c r="I253" s="35"/>
      <c r="J253" s="35" t="str">
        <f>IF(OR(TRIM(E253)="", TRIM(H253)=""), "", IFERROR(IF(OR(VLOOKUP(E253&amp;"|"&amp;H253&amp;"", DB!$A:$N, 6, FALSE)="", VLOOKUP(E253&amp;"|"&amp;H253&amp;"", DB!$A:$N, 6, FALSE)="-"), "", VLOOKUP(E253&amp;"|"&amp;H253&amp;"", DB!$A:$N, 6, FALSE)), ""))</f>
        <v/>
      </c>
      <c r="K253" s="35"/>
      <c r="L253" s="35"/>
      <c r="M253" s="35"/>
      <c r="N253" s="35" t="str">
        <f t="shared" si="3"/>
        <v/>
      </c>
      <c r="O253" s="34"/>
      <c r="P253" s="34"/>
      <c r="Q253" s="34"/>
      <c r="R253" s="34"/>
      <c r="S253" s="34"/>
      <c r="T253" s="34"/>
      <c r="U253" s="34"/>
      <c r="V253" s="34"/>
    </row>
    <row r="254" spans="1:22">
      <c r="A254" s="35"/>
      <c r="B254" s="3"/>
      <c r="C254" s="35"/>
      <c r="D254" s="34"/>
      <c r="E254" s="34"/>
      <c r="F254" s="35"/>
      <c r="G254" s="35"/>
      <c r="H254" s="3"/>
      <c r="I254" s="35"/>
      <c r="J254" s="35" t="str">
        <f>IF(OR(TRIM(E254)="", TRIM(H254)=""), "", IFERROR(IF(OR(VLOOKUP(E254&amp;"|"&amp;H254&amp;"", DB!$A:$N, 6, FALSE)="", VLOOKUP(E254&amp;"|"&amp;H254&amp;"", DB!$A:$N, 6, FALSE)="-"), "", VLOOKUP(E254&amp;"|"&amp;H254&amp;"", DB!$A:$N, 6, FALSE)), ""))</f>
        <v/>
      </c>
      <c r="K254" s="35"/>
      <c r="L254" s="35"/>
      <c r="M254" s="35"/>
      <c r="N254" s="35" t="str">
        <f t="shared" si="3"/>
        <v/>
      </c>
      <c r="O254" s="34"/>
      <c r="P254" s="34"/>
      <c r="Q254" s="34"/>
      <c r="R254" s="34"/>
      <c r="S254" s="34"/>
      <c r="T254" s="34"/>
      <c r="U254" s="34"/>
      <c r="V254" s="34"/>
    </row>
    <row r="255" spans="1:22">
      <c r="A255" s="35"/>
      <c r="B255" s="3"/>
      <c r="C255" s="35"/>
      <c r="D255" s="34"/>
      <c r="E255" s="34"/>
      <c r="F255" s="35"/>
      <c r="G255" s="35"/>
      <c r="H255" s="3"/>
      <c r="I255" s="35"/>
      <c r="J255" s="35" t="str">
        <f>IF(OR(TRIM(E255)="", TRIM(H255)=""), "", IFERROR(IF(OR(VLOOKUP(E255&amp;"|"&amp;H255&amp;"", DB!$A:$N, 6, FALSE)="", VLOOKUP(E255&amp;"|"&amp;H255&amp;"", DB!$A:$N, 6, FALSE)="-"), "", VLOOKUP(E255&amp;"|"&amp;H255&amp;"", DB!$A:$N, 6, FALSE)), ""))</f>
        <v/>
      </c>
      <c r="K255" s="35"/>
      <c r="L255" s="35"/>
      <c r="M255" s="35"/>
      <c r="N255" s="35" t="str">
        <f t="shared" si="3"/>
        <v/>
      </c>
      <c r="O255" s="34"/>
      <c r="P255" s="34"/>
      <c r="Q255" s="34"/>
      <c r="R255" s="34"/>
      <c r="S255" s="34"/>
      <c r="T255" s="34"/>
      <c r="U255" s="34"/>
      <c r="V255" s="34"/>
    </row>
    <row r="256" spans="1:22">
      <c r="A256" s="35"/>
      <c r="B256" s="3"/>
      <c r="C256" s="35"/>
      <c r="D256" s="34"/>
      <c r="E256" s="34"/>
      <c r="F256" s="35"/>
      <c r="G256" s="35"/>
      <c r="H256" s="3"/>
      <c r="I256" s="35"/>
      <c r="J256" s="35" t="str">
        <f>IF(OR(TRIM(E256)="", TRIM(H256)=""), "", IFERROR(IF(OR(VLOOKUP(E256&amp;"|"&amp;H256&amp;"", DB!$A:$N, 6, FALSE)="", VLOOKUP(E256&amp;"|"&amp;H256&amp;"", DB!$A:$N, 6, FALSE)="-"), "", VLOOKUP(E256&amp;"|"&amp;H256&amp;"", DB!$A:$N, 6, FALSE)), ""))</f>
        <v/>
      </c>
      <c r="K256" s="35"/>
      <c r="L256" s="35"/>
      <c r="M256" s="35"/>
      <c r="N256" s="35" t="str">
        <f t="shared" si="3"/>
        <v/>
      </c>
      <c r="O256" s="34"/>
      <c r="P256" s="34"/>
      <c r="Q256" s="34"/>
      <c r="R256" s="34"/>
      <c r="S256" s="34"/>
      <c r="T256" s="34"/>
      <c r="U256" s="34"/>
      <c r="V256" s="34"/>
    </row>
    <row r="257" spans="1:22">
      <c r="A257" s="35"/>
      <c r="B257" s="3"/>
      <c r="C257" s="35"/>
      <c r="D257" s="34"/>
      <c r="E257" s="34"/>
      <c r="F257" s="35"/>
      <c r="G257" s="35"/>
      <c r="H257" s="3"/>
      <c r="I257" s="35"/>
      <c r="J257" s="35" t="str">
        <f>IF(OR(TRIM(E257)="", TRIM(H257)=""), "", IFERROR(IF(OR(VLOOKUP(E257&amp;"|"&amp;H257&amp;"", DB!$A:$N, 6, FALSE)="", VLOOKUP(E257&amp;"|"&amp;H257&amp;"", DB!$A:$N, 6, FALSE)="-"), "", VLOOKUP(E257&amp;"|"&amp;H257&amp;"", DB!$A:$N, 6, FALSE)), ""))</f>
        <v/>
      </c>
      <c r="K257" s="35"/>
      <c r="L257" s="35"/>
      <c r="M257" s="35"/>
      <c r="N257" s="35" t="str">
        <f t="shared" si="3"/>
        <v/>
      </c>
      <c r="O257" s="34"/>
      <c r="P257" s="34"/>
      <c r="Q257" s="34"/>
      <c r="R257" s="34"/>
      <c r="S257" s="34"/>
      <c r="T257" s="34"/>
      <c r="U257" s="34"/>
      <c r="V257" s="34"/>
    </row>
    <row r="258" spans="1:22">
      <c r="A258" s="35"/>
      <c r="B258" s="3"/>
      <c r="C258" s="35"/>
      <c r="D258" s="34"/>
      <c r="E258" s="34"/>
      <c r="F258" s="35"/>
      <c r="G258" s="35"/>
      <c r="H258" s="3"/>
      <c r="I258" s="35"/>
      <c r="J258" s="35" t="str">
        <f>IF(OR(TRIM(E258)="", TRIM(H258)=""), "", IFERROR(IF(OR(VLOOKUP(E258&amp;"|"&amp;H258&amp;"", DB!$A:$N, 6, FALSE)="", VLOOKUP(E258&amp;"|"&amp;H258&amp;"", DB!$A:$N, 6, FALSE)="-"), "", VLOOKUP(E258&amp;"|"&amp;H258&amp;"", DB!$A:$N, 6, FALSE)), ""))</f>
        <v/>
      </c>
      <c r="K258" s="35"/>
      <c r="L258" s="35"/>
      <c r="M258" s="35"/>
      <c r="N258" s="35" t="str">
        <f t="shared" ref="N258:N321" si="4">IF(TRIM(D258)="", "", IF(N(L258)-N(M258)&lt;=0, "X", N(L258)-N(M258)))</f>
        <v/>
      </c>
      <c r="O258" s="34"/>
      <c r="P258" s="34"/>
      <c r="Q258" s="34"/>
      <c r="R258" s="34"/>
      <c r="S258" s="34"/>
      <c r="T258" s="34"/>
      <c r="U258" s="34"/>
      <c r="V258" s="34"/>
    </row>
    <row r="259" spans="1:22">
      <c r="A259" s="35"/>
      <c r="B259" s="3"/>
      <c r="C259" s="35"/>
      <c r="D259" s="34"/>
      <c r="E259" s="34"/>
      <c r="F259" s="35"/>
      <c r="G259" s="35"/>
      <c r="H259" s="3"/>
      <c r="I259" s="35"/>
      <c r="J259" s="35" t="str">
        <f>IF(OR(TRIM(E259)="", TRIM(H259)=""), "", IFERROR(IF(OR(VLOOKUP(E259&amp;"|"&amp;H259&amp;"", DB!$A:$N, 6, FALSE)="", VLOOKUP(E259&amp;"|"&amp;H259&amp;"", DB!$A:$N, 6, FALSE)="-"), "", VLOOKUP(E259&amp;"|"&amp;H259&amp;"", DB!$A:$N, 6, FALSE)), ""))</f>
        <v/>
      </c>
      <c r="K259" s="35"/>
      <c r="L259" s="35"/>
      <c r="M259" s="35"/>
      <c r="N259" s="35" t="str">
        <f t="shared" si="4"/>
        <v/>
      </c>
      <c r="O259" s="34"/>
      <c r="P259" s="34"/>
      <c r="Q259" s="34"/>
      <c r="R259" s="34"/>
      <c r="S259" s="34"/>
      <c r="T259" s="34"/>
      <c r="U259" s="34"/>
      <c r="V259" s="34"/>
    </row>
    <row r="260" spans="1:22">
      <c r="A260" s="35"/>
      <c r="B260" s="3"/>
      <c r="C260" s="35"/>
      <c r="D260" s="34"/>
      <c r="E260" s="34"/>
      <c r="F260" s="35"/>
      <c r="G260" s="35"/>
      <c r="H260" s="3"/>
      <c r="I260" s="35"/>
      <c r="J260" s="35" t="str">
        <f>IF(OR(TRIM(E260)="", TRIM(H260)=""), "", IFERROR(IF(OR(VLOOKUP(E260&amp;"|"&amp;H260&amp;"", DB!$A:$N, 6, FALSE)="", VLOOKUP(E260&amp;"|"&amp;H260&amp;"", DB!$A:$N, 6, FALSE)="-"), "", VLOOKUP(E260&amp;"|"&amp;H260&amp;"", DB!$A:$N, 6, FALSE)), ""))</f>
        <v/>
      </c>
      <c r="K260" s="35"/>
      <c r="L260" s="35"/>
      <c r="M260" s="35"/>
      <c r="N260" s="35" t="str">
        <f t="shared" si="4"/>
        <v/>
      </c>
      <c r="O260" s="34"/>
      <c r="P260" s="34"/>
      <c r="Q260" s="34"/>
      <c r="R260" s="34"/>
      <c r="S260" s="34"/>
      <c r="T260" s="34"/>
      <c r="U260" s="34"/>
      <c r="V260" s="34"/>
    </row>
    <row r="261" spans="1:22">
      <c r="A261" s="35"/>
      <c r="B261" s="3"/>
      <c r="C261" s="35"/>
      <c r="D261" s="34"/>
      <c r="E261" s="34"/>
      <c r="F261" s="35"/>
      <c r="G261" s="35"/>
      <c r="H261" s="3"/>
      <c r="I261" s="35"/>
      <c r="J261" s="35" t="str">
        <f>IF(OR(TRIM(E261)="", TRIM(H261)=""), "", IFERROR(IF(OR(VLOOKUP(E261&amp;"|"&amp;H261&amp;"", DB!$A:$N, 6, FALSE)="", VLOOKUP(E261&amp;"|"&amp;H261&amp;"", DB!$A:$N, 6, FALSE)="-"), "", VLOOKUP(E261&amp;"|"&amp;H261&amp;"", DB!$A:$N, 6, FALSE)), ""))</f>
        <v/>
      </c>
      <c r="K261" s="35"/>
      <c r="L261" s="35"/>
      <c r="M261" s="35"/>
      <c r="N261" s="35" t="str">
        <f t="shared" si="4"/>
        <v/>
      </c>
      <c r="O261" s="34"/>
      <c r="P261" s="34"/>
      <c r="Q261" s="34"/>
      <c r="R261" s="34"/>
      <c r="S261" s="34"/>
      <c r="T261" s="34"/>
      <c r="U261" s="34"/>
      <c r="V261" s="34"/>
    </row>
    <row r="262" spans="1:22">
      <c r="A262" s="35"/>
      <c r="B262" s="3"/>
      <c r="C262" s="35"/>
      <c r="D262" s="34"/>
      <c r="E262" s="34"/>
      <c r="F262" s="35"/>
      <c r="G262" s="35"/>
      <c r="H262" s="3"/>
      <c r="I262" s="35"/>
      <c r="J262" s="35" t="str">
        <f>IF(OR(TRIM(E262)="", TRIM(H262)=""), "", IFERROR(IF(OR(VLOOKUP(E262&amp;"|"&amp;H262&amp;"", DB!$A:$N, 6, FALSE)="", VLOOKUP(E262&amp;"|"&amp;H262&amp;"", DB!$A:$N, 6, FALSE)="-"), "", VLOOKUP(E262&amp;"|"&amp;H262&amp;"", DB!$A:$N, 6, FALSE)), ""))</f>
        <v/>
      </c>
      <c r="K262" s="35"/>
      <c r="L262" s="35"/>
      <c r="M262" s="35"/>
      <c r="N262" s="35" t="str">
        <f t="shared" si="4"/>
        <v/>
      </c>
      <c r="O262" s="34"/>
      <c r="P262" s="34"/>
      <c r="Q262" s="34"/>
      <c r="R262" s="34"/>
      <c r="S262" s="34"/>
      <c r="T262" s="34"/>
      <c r="U262" s="34"/>
      <c r="V262" s="34"/>
    </row>
    <row r="263" spans="1:22">
      <c r="A263" s="35"/>
      <c r="B263" s="3"/>
      <c r="C263" s="35"/>
      <c r="D263" s="34"/>
      <c r="E263" s="34"/>
      <c r="F263" s="35"/>
      <c r="G263" s="35"/>
      <c r="H263" s="3"/>
      <c r="I263" s="35"/>
      <c r="J263" s="35" t="str">
        <f>IF(OR(TRIM(E263)="", TRIM(H263)=""), "", IFERROR(IF(OR(VLOOKUP(E263&amp;"|"&amp;H263&amp;"", DB!$A:$N, 6, FALSE)="", VLOOKUP(E263&amp;"|"&amp;H263&amp;"", DB!$A:$N, 6, FALSE)="-"), "", VLOOKUP(E263&amp;"|"&amp;H263&amp;"", DB!$A:$N, 6, FALSE)), ""))</f>
        <v/>
      </c>
      <c r="K263" s="35"/>
      <c r="L263" s="35"/>
      <c r="M263" s="35"/>
      <c r="N263" s="35" t="str">
        <f t="shared" si="4"/>
        <v/>
      </c>
      <c r="O263" s="34"/>
      <c r="P263" s="34"/>
      <c r="Q263" s="34"/>
      <c r="R263" s="34"/>
      <c r="S263" s="34"/>
      <c r="T263" s="34"/>
      <c r="U263" s="34"/>
      <c r="V263" s="34"/>
    </row>
    <row r="264" spans="1:22">
      <c r="A264" s="35"/>
      <c r="B264" s="3"/>
      <c r="C264" s="35"/>
      <c r="D264" s="34"/>
      <c r="E264" s="34"/>
      <c r="F264" s="35"/>
      <c r="G264" s="35"/>
      <c r="H264" s="3"/>
      <c r="I264" s="35"/>
      <c r="J264" s="35" t="str">
        <f>IF(OR(TRIM(E264)="", TRIM(H264)=""), "", IFERROR(IF(OR(VLOOKUP(E264&amp;"|"&amp;H264&amp;"", DB!$A:$N, 6, FALSE)="", VLOOKUP(E264&amp;"|"&amp;H264&amp;"", DB!$A:$N, 6, FALSE)="-"), "", VLOOKUP(E264&amp;"|"&amp;H264&amp;"", DB!$A:$N, 6, FALSE)), ""))</f>
        <v/>
      </c>
      <c r="K264" s="35"/>
      <c r="L264" s="35"/>
      <c r="M264" s="35"/>
      <c r="N264" s="35" t="str">
        <f t="shared" si="4"/>
        <v/>
      </c>
      <c r="O264" s="34"/>
      <c r="P264" s="34"/>
      <c r="Q264" s="34"/>
      <c r="R264" s="34"/>
      <c r="S264" s="34"/>
      <c r="T264" s="34"/>
      <c r="U264" s="34"/>
      <c r="V264" s="34"/>
    </row>
    <row r="265" spans="1:22">
      <c r="A265" s="35"/>
      <c r="B265" s="3"/>
      <c r="C265" s="35"/>
      <c r="D265" s="34"/>
      <c r="E265" s="34"/>
      <c r="F265" s="35"/>
      <c r="G265" s="35"/>
      <c r="H265" s="3"/>
      <c r="I265" s="35"/>
      <c r="J265" s="35" t="str">
        <f>IF(OR(TRIM(E265)="", TRIM(H265)=""), "", IFERROR(IF(OR(VLOOKUP(E265&amp;"|"&amp;H265&amp;"", DB!$A:$N, 6, FALSE)="", VLOOKUP(E265&amp;"|"&amp;H265&amp;"", DB!$A:$N, 6, FALSE)="-"), "", VLOOKUP(E265&amp;"|"&amp;H265&amp;"", DB!$A:$N, 6, FALSE)), ""))</f>
        <v/>
      </c>
      <c r="K265" s="35"/>
      <c r="L265" s="35"/>
      <c r="M265" s="35"/>
      <c r="N265" s="35" t="str">
        <f t="shared" si="4"/>
        <v/>
      </c>
      <c r="O265" s="34"/>
      <c r="P265" s="34"/>
      <c r="Q265" s="34"/>
      <c r="R265" s="34"/>
      <c r="S265" s="34"/>
      <c r="T265" s="34"/>
      <c r="U265" s="34"/>
      <c r="V265" s="34"/>
    </row>
    <row r="266" spans="1:22">
      <c r="A266" s="35"/>
      <c r="B266" s="3"/>
      <c r="C266" s="35"/>
      <c r="D266" s="34"/>
      <c r="E266" s="34"/>
      <c r="F266" s="35"/>
      <c r="G266" s="35"/>
      <c r="H266" s="3"/>
      <c r="I266" s="35"/>
      <c r="J266" s="35" t="str">
        <f>IF(OR(TRIM(E266)="", TRIM(H266)=""), "", IFERROR(IF(OR(VLOOKUP(E266&amp;"|"&amp;H266&amp;"", DB!$A:$N, 6, FALSE)="", VLOOKUP(E266&amp;"|"&amp;H266&amp;"", DB!$A:$N, 6, FALSE)="-"), "", VLOOKUP(E266&amp;"|"&amp;H266&amp;"", DB!$A:$N, 6, FALSE)), ""))</f>
        <v/>
      </c>
      <c r="K266" s="35"/>
      <c r="L266" s="35"/>
      <c r="M266" s="35"/>
      <c r="N266" s="35" t="str">
        <f t="shared" si="4"/>
        <v/>
      </c>
      <c r="O266" s="34"/>
      <c r="P266" s="34"/>
      <c r="Q266" s="34"/>
      <c r="R266" s="34"/>
      <c r="S266" s="34"/>
      <c r="T266" s="34"/>
      <c r="U266" s="34"/>
      <c r="V266" s="34"/>
    </row>
    <row r="267" spans="1:22">
      <c r="A267" s="35"/>
      <c r="B267" s="3"/>
      <c r="C267" s="35"/>
      <c r="D267" s="34"/>
      <c r="E267" s="34"/>
      <c r="F267" s="35"/>
      <c r="G267" s="35"/>
      <c r="H267" s="3"/>
      <c r="I267" s="35"/>
      <c r="J267" s="35" t="str">
        <f>IF(OR(TRIM(E267)="", TRIM(H267)=""), "", IFERROR(IF(OR(VLOOKUP(E267&amp;"|"&amp;H267&amp;"", DB!$A:$N, 6, FALSE)="", VLOOKUP(E267&amp;"|"&amp;H267&amp;"", DB!$A:$N, 6, FALSE)="-"), "", VLOOKUP(E267&amp;"|"&amp;H267&amp;"", DB!$A:$N, 6, FALSE)), ""))</f>
        <v/>
      </c>
      <c r="K267" s="35"/>
      <c r="L267" s="35"/>
      <c r="M267" s="35"/>
      <c r="N267" s="35" t="str">
        <f t="shared" si="4"/>
        <v/>
      </c>
      <c r="O267" s="34"/>
      <c r="P267" s="34"/>
      <c r="Q267" s="34"/>
      <c r="R267" s="34"/>
      <c r="S267" s="34"/>
      <c r="T267" s="34"/>
      <c r="U267" s="34"/>
      <c r="V267" s="34"/>
    </row>
    <row r="268" spans="1:22">
      <c r="A268" s="35"/>
      <c r="B268" s="3"/>
      <c r="C268" s="35"/>
      <c r="D268" s="34"/>
      <c r="E268" s="34"/>
      <c r="F268" s="35"/>
      <c r="G268" s="35"/>
      <c r="H268" s="3"/>
      <c r="I268" s="35"/>
      <c r="J268" s="35" t="str">
        <f>IF(OR(TRIM(E268)="", TRIM(H268)=""), "", IFERROR(IF(OR(VLOOKUP(E268&amp;"|"&amp;H268&amp;"", DB!$A:$N, 6, FALSE)="", VLOOKUP(E268&amp;"|"&amp;H268&amp;"", DB!$A:$N, 6, FALSE)="-"), "", VLOOKUP(E268&amp;"|"&amp;H268&amp;"", DB!$A:$N, 6, FALSE)), ""))</f>
        <v/>
      </c>
      <c r="K268" s="35"/>
      <c r="L268" s="35"/>
      <c r="M268" s="35"/>
      <c r="N268" s="35" t="str">
        <f t="shared" si="4"/>
        <v/>
      </c>
      <c r="O268" s="34"/>
      <c r="P268" s="34"/>
      <c r="Q268" s="34"/>
      <c r="R268" s="34"/>
      <c r="S268" s="34"/>
      <c r="T268" s="34"/>
      <c r="U268" s="34"/>
      <c r="V268" s="34"/>
    </row>
    <row r="269" spans="1:22">
      <c r="A269" s="35"/>
      <c r="B269" s="3"/>
      <c r="C269" s="35"/>
      <c r="D269" s="34"/>
      <c r="E269" s="34"/>
      <c r="F269" s="35"/>
      <c r="G269" s="35"/>
      <c r="H269" s="3"/>
      <c r="I269" s="35"/>
      <c r="J269" s="35" t="str">
        <f>IF(OR(TRIM(E269)="", TRIM(H269)=""), "", IFERROR(IF(OR(VLOOKUP(E269&amp;"|"&amp;H269&amp;"", DB!$A:$N, 6, FALSE)="", VLOOKUP(E269&amp;"|"&amp;H269&amp;"", DB!$A:$N, 6, FALSE)="-"), "", VLOOKUP(E269&amp;"|"&amp;H269&amp;"", DB!$A:$N, 6, FALSE)), ""))</f>
        <v/>
      </c>
      <c r="K269" s="35"/>
      <c r="L269" s="35"/>
      <c r="M269" s="35"/>
      <c r="N269" s="35" t="str">
        <f t="shared" si="4"/>
        <v/>
      </c>
      <c r="O269" s="34"/>
      <c r="P269" s="34"/>
      <c r="Q269" s="34"/>
      <c r="R269" s="34"/>
      <c r="S269" s="34"/>
      <c r="T269" s="34"/>
      <c r="U269" s="34"/>
      <c r="V269" s="34"/>
    </row>
    <row r="270" spans="1:22">
      <c r="A270" s="35"/>
      <c r="B270" s="3"/>
      <c r="C270" s="35"/>
      <c r="D270" s="34"/>
      <c r="E270" s="34"/>
      <c r="F270" s="35"/>
      <c r="G270" s="35"/>
      <c r="H270" s="3"/>
      <c r="I270" s="35"/>
      <c r="J270" s="35" t="str">
        <f>IF(OR(TRIM(E270)="", TRIM(H270)=""), "", IFERROR(IF(OR(VLOOKUP(E270&amp;"|"&amp;H270&amp;"", DB!$A:$N, 6, FALSE)="", VLOOKUP(E270&amp;"|"&amp;H270&amp;"", DB!$A:$N, 6, FALSE)="-"), "", VLOOKUP(E270&amp;"|"&amp;H270&amp;"", DB!$A:$N, 6, FALSE)), ""))</f>
        <v/>
      </c>
      <c r="K270" s="35"/>
      <c r="L270" s="35"/>
      <c r="M270" s="35"/>
      <c r="N270" s="35" t="str">
        <f t="shared" si="4"/>
        <v/>
      </c>
      <c r="O270" s="34"/>
      <c r="P270" s="34"/>
      <c r="Q270" s="34"/>
      <c r="R270" s="34"/>
      <c r="S270" s="34"/>
      <c r="T270" s="34"/>
      <c r="U270" s="34"/>
      <c r="V270" s="34"/>
    </row>
    <row r="271" spans="1:22">
      <c r="A271" s="35"/>
      <c r="B271" s="3"/>
      <c r="C271" s="35"/>
      <c r="D271" s="34"/>
      <c r="E271" s="34"/>
      <c r="F271" s="35"/>
      <c r="G271" s="35"/>
      <c r="H271" s="3"/>
      <c r="I271" s="35"/>
      <c r="J271" s="35" t="str">
        <f>IF(OR(TRIM(E271)="", TRIM(H271)=""), "", IFERROR(IF(OR(VLOOKUP(E271&amp;"|"&amp;H271&amp;"", DB!$A:$N, 6, FALSE)="", VLOOKUP(E271&amp;"|"&amp;H271&amp;"", DB!$A:$N, 6, FALSE)="-"), "", VLOOKUP(E271&amp;"|"&amp;H271&amp;"", DB!$A:$N, 6, FALSE)), ""))</f>
        <v/>
      </c>
      <c r="K271" s="35"/>
      <c r="L271" s="35"/>
      <c r="M271" s="35"/>
      <c r="N271" s="35" t="str">
        <f t="shared" si="4"/>
        <v/>
      </c>
      <c r="O271" s="34"/>
      <c r="P271" s="34"/>
      <c r="Q271" s="34"/>
      <c r="R271" s="34"/>
      <c r="S271" s="34"/>
      <c r="T271" s="34"/>
      <c r="U271" s="34"/>
      <c r="V271" s="34"/>
    </row>
    <row r="272" spans="1:22">
      <c r="A272" s="35"/>
      <c r="B272" s="3"/>
      <c r="C272" s="35"/>
      <c r="D272" s="34"/>
      <c r="E272" s="34"/>
      <c r="F272" s="35"/>
      <c r="G272" s="35"/>
      <c r="H272" s="3"/>
      <c r="I272" s="35"/>
      <c r="J272" s="35" t="str">
        <f>IF(OR(TRIM(E272)="", TRIM(H272)=""), "", IFERROR(IF(OR(VLOOKUP(E272&amp;"|"&amp;H272&amp;"", DB!$A:$N, 6, FALSE)="", VLOOKUP(E272&amp;"|"&amp;H272&amp;"", DB!$A:$N, 6, FALSE)="-"), "", VLOOKUP(E272&amp;"|"&amp;H272&amp;"", DB!$A:$N, 6, FALSE)), ""))</f>
        <v/>
      </c>
      <c r="K272" s="35"/>
      <c r="L272" s="35"/>
      <c r="M272" s="35"/>
      <c r="N272" s="35" t="str">
        <f t="shared" si="4"/>
        <v/>
      </c>
      <c r="O272" s="34"/>
      <c r="P272" s="34"/>
      <c r="Q272" s="34"/>
      <c r="R272" s="34"/>
      <c r="S272" s="34"/>
      <c r="T272" s="34"/>
      <c r="U272" s="34"/>
      <c r="V272" s="34"/>
    </row>
    <row r="273" spans="1:22">
      <c r="A273" s="35"/>
      <c r="B273" s="3"/>
      <c r="C273" s="35"/>
      <c r="D273" s="34"/>
      <c r="E273" s="34"/>
      <c r="F273" s="35"/>
      <c r="G273" s="35"/>
      <c r="H273" s="3"/>
      <c r="I273" s="35"/>
      <c r="J273" s="35" t="str">
        <f>IF(OR(TRIM(E273)="", TRIM(H273)=""), "", IFERROR(IF(OR(VLOOKUP(E273&amp;"|"&amp;H273&amp;"", DB!$A:$N, 6, FALSE)="", VLOOKUP(E273&amp;"|"&amp;H273&amp;"", DB!$A:$N, 6, FALSE)="-"), "", VLOOKUP(E273&amp;"|"&amp;H273&amp;"", DB!$A:$N, 6, FALSE)), ""))</f>
        <v/>
      </c>
      <c r="K273" s="35"/>
      <c r="L273" s="35"/>
      <c r="M273" s="35"/>
      <c r="N273" s="35" t="str">
        <f t="shared" si="4"/>
        <v/>
      </c>
      <c r="O273" s="34"/>
      <c r="P273" s="34"/>
      <c r="Q273" s="34"/>
      <c r="R273" s="34"/>
      <c r="S273" s="34"/>
      <c r="T273" s="34"/>
      <c r="U273" s="34"/>
      <c r="V273" s="34"/>
    </row>
    <row r="274" spans="1:22">
      <c r="A274" s="35"/>
      <c r="B274" s="3"/>
      <c r="C274" s="35"/>
      <c r="D274" s="34"/>
      <c r="E274" s="34"/>
      <c r="F274" s="35"/>
      <c r="G274" s="35"/>
      <c r="H274" s="3"/>
      <c r="I274" s="35"/>
      <c r="J274" s="35" t="str">
        <f>IF(OR(TRIM(E274)="", TRIM(H274)=""), "", IFERROR(IF(OR(VLOOKUP(E274&amp;"|"&amp;H274&amp;"", DB!$A:$N, 6, FALSE)="", VLOOKUP(E274&amp;"|"&amp;H274&amp;"", DB!$A:$N, 6, FALSE)="-"), "", VLOOKUP(E274&amp;"|"&amp;H274&amp;"", DB!$A:$N, 6, FALSE)), ""))</f>
        <v/>
      </c>
      <c r="K274" s="35"/>
      <c r="L274" s="35"/>
      <c r="M274" s="35"/>
      <c r="N274" s="35" t="str">
        <f t="shared" si="4"/>
        <v/>
      </c>
      <c r="O274" s="34"/>
      <c r="P274" s="34"/>
      <c r="Q274" s="34"/>
      <c r="R274" s="34"/>
      <c r="S274" s="34"/>
      <c r="T274" s="34"/>
      <c r="U274" s="34"/>
      <c r="V274" s="34"/>
    </row>
    <row r="275" spans="1:22">
      <c r="A275" s="35"/>
      <c r="B275" s="3"/>
      <c r="C275" s="35"/>
      <c r="D275" s="34"/>
      <c r="E275" s="34"/>
      <c r="F275" s="35"/>
      <c r="G275" s="35"/>
      <c r="H275" s="3"/>
      <c r="I275" s="35"/>
      <c r="J275" s="35" t="str">
        <f>IF(OR(TRIM(E275)="", TRIM(H275)=""), "", IFERROR(IF(OR(VLOOKUP(E275&amp;"|"&amp;H275&amp;"", DB!$A:$N, 6, FALSE)="", VLOOKUP(E275&amp;"|"&amp;H275&amp;"", DB!$A:$N, 6, FALSE)="-"), "", VLOOKUP(E275&amp;"|"&amp;H275&amp;"", DB!$A:$N, 6, FALSE)), ""))</f>
        <v/>
      </c>
      <c r="K275" s="35"/>
      <c r="L275" s="35"/>
      <c r="M275" s="35"/>
      <c r="N275" s="35" t="str">
        <f t="shared" si="4"/>
        <v/>
      </c>
      <c r="O275" s="34"/>
      <c r="P275" s="34"/>
      <c r="Q275" s="34"/>
      <c r="R275" s="34"/>
      <c r="S275" s="34"/>
      <c r="T275" s="34"/>
      <c r="U275" s="34"/>
      <c r="V275" s="34"/>
    </row>
    <row r="276" spans="1:22">
      <c r="A276" s="35"/>
      <c r="B276" s="3"/>
      <c r="C276" s="35"/>
      <c r="D276" s="34"/>
      <c r="E276" s="34"/>
      <c r="F276" s="35"/>
      <c r="G276" s="35"/>
      <c r="H276" s="3"/>
      <c r="I276" s="35"/>
      <c r="J276" s="35" t="str">
        <f>IF(OR(TRIM(E276)="", TRIM(H276)=""), "", IFERROR(IF(OR(VLOOKUP(E276&amp;"|"&amp;H276&amp;"", DB!$A:$N, 6, FALSE)="", VLOOKUP(E276&amp;"|"&amp;H276&amp;"", DB!$A:$N, 6, FALSE)="-"), "", VLOOKUP(E276&amp;"|"&amp;H276&amp;"", DB!$A:$N, 6, FALSE)), ""))</f>
        <v/>
      </c>
      <c r="K276" s="35"/>
      <c r="L276" s="35"/>
      <c r="M276" s="35"/>
      <c r="N276" s="35" t="str">
        <f t="shared" si="4"/>
        <v/>
      </c>
      <c r="O276" s="34"/>
      <c r="P276" s="34"/>
      <c r="Q276" s="34"/>
      <c r="R276" s="34"/>
      <c r="S276" s="34"/>
      <c r="T276" s="34"/>
      <c r="U276" s="34"/>
      <c r="V276" s="34"/>
    </row>
    <row r="277" spans="1:22">
      <c r="A277" s="35"/>
      <c r="B277" s="3"/>
      <c r="C277" s="35"/>
      <c r="D277" s="34"/>
      <c r="E277" s="34"/>
      <c r="F277" s="35"/>
      <c r="G277" s="35"/>
      <c r="H277" s="3"/>
      <c r="I277" s="35"/>
      <c r="J277" s="35" t="str">
        <f>IF(OR(TRIM(E277)="", TRIM(H277)=""), "", IFERROR(IF(OR(VLOOKUP(E277&amp;"|"&amp;H277&amp;"", DB!$A:$N, 6, FALSE)="", VLOOKUP(E277&amp;"|"&amp;H277&amp;"", DB!$A:$N, 6, FALSE)="-"), "", VLOOKUP(E277&amp;"|"&amp;H277&amp;"", DB!$A:$N, 6, FALSE)), ""))</f>
        <v/>
      </c>
      <c r="K277" s="35"/>
      <c r="L277" s="35"/>
      <c r="M277" s="35"/>
      <c r="N277" s="35" t="str">
        <f t="shared" si="4"/>
        <v/>
      </c>
      <c r="O277" s="34"/>
      <c r="P277" s="34"/>
      <c r="Q277" s="34"/>
      <c r="R277" s="34"/>
      <c r="S277" s="34"/>
      <c r="T277" s="34"/>
      <c r="U277" s="34"/>
      <c r="V277" s="34"/>
    </row>
    <row r="278" spans="1:22">
      <c r="A278" s="35"/>
      <c r="B278" s="3"/>
      <c r="C278" s="35"/>
      <c r="D278" s="34"/>
      <c r="E278" s="34"/>
      <c r="F278" s="35"/>
      <c r="G278" s="35"/>
      <c r="H278" s="3"/>
      <c r="I278" s="35"/>
      <c r="J278" s="35" t="str">
        <f>IF(OR(TRIM(E278)="", TRIM(H278)=""), "", IFERROR(IF(OR(VLOOKUP(E278&amp;"|"&amp;H278&amp;"", DB!$A:$N, 6, FALSE)="", VLOOKUP(E278&amp;"|"&amp;H278&amp;"", DB!$A:$N, 6, FALSE)="-"), "", VLOOKUP(E278&amp;"|"&amp;H278&amp;"", DB!$A:$N, 6, FALSE)), ""))</f>
        <v/>
      </c>
      <c r="K278" s="35"/>
      <c r="L278" s="35"/>
      <c r="M278" s="35"/>
      <c r="N278" s="35" t="str">
        <f t="shared" si="4"/>
        <v/>
      </c>
      <c r="O278" s="34"/>
      <c r="P278" s="34"/>
      <c r="Q278" s="34"/>
      <c r="R278" s="34"/>
      <c r="S278" s="34"/>
      <c r="T278" s="34"/>
      <c r="U278" s="34"/>
      <c r="V278" s="34"/>
    </row>
    <row r="279" spans="1:22">
      <c r="A279" s="35"/>
      <c r="B279" s="3"/>
      <c r="C279" s="35"/>
      <c r="D279" s="34"/>
      <c r="E279" s="34"/>
      <c r="F279" s="35"/>
      <c r="G279" s="35"/>
      <c r="H279" s="3"/>
      <c r="I279" s="35"/>
      <c r="J279" s="35" t="str">
        <f>IF(OR(TRIM(E279)="", TRIM(H279)=""), "", IFERROR(IF(OR(VLOOKUP(E279&amp;"|"&amp;H279&amp;"", DB!$A:$N, 6, FALSE)="", VLOOKUP(E279&amp;"|"&amp;H279&amp;"", DB!$A:$N, 6, FALSE)="-"), "", VLOOKUP(E279&amp;"|"&amp;H279&amp;"", DB!$A:$N, 6, FALSE)), ""))</f>
        <v/>
      </c>
      <c r="K279" s="35"/>
      <c r="L279" s="35"/>
      <c r="M279" s="35"/>
      <c r="N279" s="35" t="str">
        <f t="shared" si="4"/>
        <v/>
      </c>
      <c r="O279" s="34"/>
      <c r="P279" s="34"/>
      <c r="Q279" s="34"/>
      <c r="R279" s="34"/>
      <c r="S279" s="34"/>
      <c r="T279" s="34"/>
      <c r="U279" s="34"/>
      <c r="V279" s="34"/>
    </row>
    <row r="280" spans="1:22">
      <c r="A280" s="35"/>
      <c r="B280" s="3"/>
      <c r="C280" s="35"/>
      <c r="D280" s="34"/>
      <c r="E280" s="34"/>
      <c r="F280" s="35"/>
      <c r="G280" s="35"/>
      <c r="H280" s="3"/>
      <c r="I280" s="35"/>
      <c r="J280" s="35" t="str">
        <f>IF(OR(TRIM(E280)="", TRIM(H280)=""), "", IFERROR(IF(OR(VLOOKUP(E280&amp;"|"&amp;H280&amp;"", DB!$A:$N, 6, FALSE)="", VLOOKUP(E280&amp;"|"&amp;H280&amp;"", DB!$A:$N, 6, FALSE)="-"), "", VLOOKUP(E280&amp;"|"&amp;H280&amp;"", DB!$A:$N, 6, FALSE)), ""))</f>
        <v/>
      </c>
      <c r="K280" s="35"/>
      <c r="L280" s="35"/>
      <c r="M280" s="35"/>
      <c r="N280" s="35" t="str">
        <f t="shared" si="4"/>
        <v/>
      </c>
      <c r="O280" s="34"/>
      <c r="P280" s="34"/>
      <c r="Q280" s="34"/>
      <c r="R280" s="34"/>
      <c r="S280" s="34"/>
      <c r="T280" s="34"/>
      <c r="U280" s="34"/>
      <c r="V280" s="34"/>
    </row>
    <row r="281" spans="1:22">
      <c r="A281" s="35"/>
      <c r="B281" s="3"/>
      <c r="C281" s="35"/>
      <c r="D281" s="34"/>
      <c r="E281" s="34"/>
      <c r="F281" s="35"/>
      <c r="G281" s="35"/>
      <c r="H281" s="3"/>
      <c r="I281" s="35"/>
      <c r="J281" s="35" t="str">
        <f>IF(OR(TRIM(E281)="", TRIM(H281)=""), "", IFERROR(IF(OR(VLOOKUP(E281&amp;"|"&amp;H281&amp;"", DB!$A:$N, 6, FALSE)="", VLOOKUP(E281&amp;"|"&amp;H281&amp;"", DB!$A:$N, 6, FALSE)="-"), "", VLOOKUP(E281&amp;"|"&amp;H281&amp;"", DB!$A:$N, 6, FALSE)), ""))</f>
        <v/>
      </c>
      <c r="K281" s="35"/>
      <c r="L281" s="35"/>
      <c r="M281" s="35"/>
      <c r="N281" s="35" t="str">
        <f t="shared" si="4"/>
        <v/>
      </c>
      <c r="O281" s="34"/>
      <c r="P281" s="34"/>
      <c r="Q281" s="34"/>
      <c r="R281" s="34"/>
      <c r="S281" s="34"/>
      <c r="T281" s="34"/>
      <c r="U281" s="34"/>
      <c r="V281" s="34"/>
    </row>
    <row r="282" spans="1:22">
      <c r="A282" s="35"/>
      <c r="B282" s="3"/>
      <c r="C282" s="35"/>
      <c r="D282" s="34"/>
      <c r="E282" s="34"/>
      <c r="F282" s="35"/>
      <c r="G282" s="35"/>
      <c r="H282" s="3"/>
      <c r="I282" s="35"/>
      <c r="J282" s="35" t="str">
        <f>IF(OR(TRIM(E282)="", TRIM(H282)=""), "", IFERROR(IF(OR(VLOOKUP(E282&amp;"|"&amp;H282&amp;"", DB!$A:$N, 6, FALSE)="", VLOOKUP(E282&amp;"|"&amp;H282&amp;"", DB!$A:$N, 6, FALSE)="-"), "", VLOOKUP(E282&amp;"|"&amp;H282&amp;"", DB!$A:$N, 6, FALSE)), ""))</f>
        <v/>
      </c>
      <c r="K282" s="35"/>
      <c r="L282" s="35"/>
      <c r="M282" s="35"/>
      <c r="N282" s="35" t="str">
        <f t="shared" si="4"/>
        <v/>
      </c>
      <c r="O282" s="34"/>
      <c r="P282" s="34"/>
      <c r="Q282" s="34"/>
      <c r="R282" s="34"/>
      <c r="S282" s="34"/>
      <c r="T282" s="34"/>
      <c r="U282" s="34"/>
      <c r="V282" s="34"/>
    </row>
    <row r="283" spans="1:22">
      <c r="A283" s="35"/>
      <c r="B283" s="3"/>
      <c r="C283" s="35"/>
      <c r="D283" s="34"/>
      <c r="E283" s="34"/>
      <c r="F283" s="35"/>
      <c r="G283" s="35"/>
      <c r="H283" s="3"/>
      <c r="I283" s="35"/>
      <c r="J283" s="35" t="str">
        <f>IF(OR(TRIM(E283)="", TRIM(H283)=""), "", IFERROR(IF(OR(VLOOKUP(E283&amp;"|"&amp;H283&amp;"", DB!$A:$N, 6, FALSE)="", VLOOKUP(E283&amp;"|"&amp;H283&amp;"", DB!$A:$N, 6, FALSE)="-"), "", VLOOKUP(E283&amp;"|"&amp;H283&amp;"", DB!$A:$N, 6, FALSE)), ""))</f>
        <v/>
      </c>
      <c r="K283" s="35"/>
      <c r="L283" s="35"/>
      <c r="M283" s="35"/>
      <c r="N283" s="35" t="str">
        <f t="shared" si="4"/>
        <v/>
      </c>
      <c r="O283" s="34"/>
      <c r="P283" s="34"/>
      <c r="Q283" s="34"/>
      <c r="R283" s="34"/>
      <c r="S283" s="34"/>
      <c r="T283" s="34"/>
      <c r="U283" s="34"/>
      <c r="V283" s="34"/>
    </row>
    <row r="284" spans="1:22">
      <c r="A284" s="35"/>
      <c r="B284" s="3"/>
      <c r="C284" s="35"/>
      <c r="D284" s="34"/>
      <c r="E284" s="34"/>
      <c r="F284" s="35"/>
      <c r="G284" s="35"/>
      <c r="H284" s="3"/>
      <c r="I284" s="35"/>
      <c r="J284" s="35" t="str">
        <f>IF(OR(TRIM(E284)="", TRIM(H284)=""), "", IFERROR(IF(OR(VLOOKUP(E284&amp;"|"&amp;H284&amp;"", DB!$A:$N, 6, FALSE)="", VLOOKUP(E284&amp;"|"&amp;H284&amp;"", DB!$A:$N, 6, FALSE)="-"), "", VLOOKUP(E284&amp;"|"&amp;H284&amp;"", DB!$A:$N, 6, FALSE)), ""))</f>
        <v/>
      </c>
      <c r="K284" s="35"/>
      <c r="L284" s="35"/>
      <c r="M284" s="35"/>
      <c r="N284" s="35" t="str">
        <f t="shared" si="4"/>
        <v/>
      </c>
      <c r="O284" s="34"/>
      <c r="P284" s="34"/>
      <c r="Q284" s="34"/>
      <c r="R284" s="34"/>
      <c r="S284" s="34"/>
      <c r="T284" s="34"/>
      <c r="U284" s="34"/>
      <c r="V284" s="34"/>
    </row>
    <row r="285" spans="1:22">
      <c r="A285" s="35"/>
      <c r="B285" s="3"/>
      <c r="C285" s="35"/>
      <c r="D285" s="34"/>
      <c r="E285" s="34"/>
      <c r="F285" s="35"/>
      <c r="G285" s="35"/>
      <c r="H285" s="3"/>
      <c r="I285" s="35"/>
      <c r="J285" s="35" t="str">
        <f>IF(OR(TRIM(E285)="", TRIM(H285)=""), "", IFERROR(IF(OR(VLOOKUP(E285&amp;"|"&amp;H285&amp;"", DB!$A:$N, 6, FALSE)="", VLOOKUP(E285&amp;"|"&amp;H285&amp;"", DB!$A:$N, 6, FALSE)="-"), "", VLOOKUP(E285&amp;"|"&amp;H285&amp;"", DB!$A:$N, 6, FALSE)), ""))</f>
        <v/>
      </c>
      <c r="K285" s="35"/>
      <c r="L285" s="35"/>
      <c r="M285" s="35"/>
      <c r="N285" s="35" t="str">
        <f t="shared" si="4"/>
        <v/>
      </c>
      <c r="O285" s="34"/>
      <c r="P285" s="34"/>
      <c r="Q285" s="34"/>
      <c r="R285" s="34"/>
      <c r="S285" s="34"/>
      <c r="T285" s="34"/>
      <c r="U285" s="34"/>
      <c r="V285" s="34"/>
    </row>
    <row r="286" spans="1:22">
      <c r="A286" s="35"/>
      <c r="B286" s="3"/>
      <c r="C286" s="35"/>
      <c r="D286" s="34"/>
      <c r="E286" s="34"/>
      <c r="F286" s="35"/>
      <c r="G286" s="35"/>
      <c r="H286" s="3"/>
      <c r="I286" s="35"/>
      <c r="J286" s="35" t="str">
        <f>IF(OR(TRIM(E286)="", TRIM(H286)=""), "", IFERROR(IF(OR(VLOOKUP(E286&amp;"|"&amp;H286&amp;"", DB!$A:$N, 6, FALSE)="", VLOOKUP(E286&amp;"|"&amp;H286&amp;"", DB!$A:$N, 6, FALSE)="-"), "", VLOOKUP(E286&amp;"|"&amp;H286&amp;"", DB!$A:$N, 6, FALSE)), ""))</f>
        <v/>
      </c>
      <c r="K286" s="35"/>
      <c r="L286" s="35"/>
      <c r="M286" s="35"/>
      <c r="N286" s="35" t="str">
        <f t="shared" si="4"/>
        <v/>
      </c>
      <c r="O286" s="34"/>
      <c r="P286" s="34"/>
      <c r="Q286" s="34"/>
      <c r="R286" s="34"/>
      <c r="S286" s="34"/>
      <c r="T286" s="34"/>
      <c r="U286" s="34"/>
      <c r="V286" s="34"/>
    </row>
    <row r="287" spans="1:22">
      <c r="A287" s="35"/>
      <c r="B287" s="3"/>
      <c r="C287" s="35"/>
      <c r="D287" s="34"/>
      <c r="E287" s="34"/>
      <c r="F287" s="35"/>
      <c r="G287" s="35"/>
      <c r="H287" s="3"/>
      <c r="I287" s="35"/>
      <c r="J287" s="35" t="str">
        <f>IF(OR(TRIM(E287)="", TRIM(H287)=""), "", IFERROR(IF(OR(VLOOKUP(E287&amp;"|"&amp;H287&amp;"", DB!$A:$N, 6, FALSE)="", VLOOKUP(E287&amp;"|"&amp;H287&amp;"", DB!$A:$N, 6, FALSE)="-"), "", VLOOKUP(E287&amp;"|"&amp;H287&amp;"", DB!$A:$N, 6, FALSE)), ""))</f>
        <v/>
      </c>
      <c r="K287" s="35"/>
      <c r="L287" s="35"/>
      <c r="M287" s="35"/>
      <c r="N287" s="35" t="str">
        <f t="shared" si="4"/>
        <v/>
      </c>
      <c r="O287" s="34"/>
      <c r="P287" s="34"/>
      <c r="Q287" s="34"/>
      <c r="R287" s="34"/>
      <c r="S287" s="34"/>
      <c r="T287" s="34"/>
      <c r="U287" s="34"/>
      <c r="V287" s="34"/>
    </row>
    <row r="288" spans="1:22">
      <c r="A288" s="35"/>
      <c r="B288" s="3"/>
      <c r="C288" s="35"/>
      <c r="D288" s="34"/>
      <c r="E288" s="34"/>
      <c r="F288" s="35"/>
      <c r="G288" s="35"/>
      <c r="H288" s="3"/>
      <c r="I288" s="35"/>
      <c r="J288" s="35" t="str">
        <f>IF(OR(TRIM(E288)="", TRIM(H288)=""), "", IFERROR(IF(OR(VLOOKUP(E288&amp;"|"&amp;H288&amp;"", DB!$A:$N, 6, FALSE)="", VLOOKUP(E288&amp;"|"&amp;H288&amp;"", DB!$A:$N, 6, FALSE)="-"), "", VLOOKUP(E288&amp;"|"&amp;H288&amp;"", DB!$A:$N, 6, FALSE)), ""))</f>
        <v/>
      </c>
      <c r="K288" s="35"/>
      <c r="L288" s="35"/>
      <c r="M288" s="35"/>
      <c r="N288" s="35" t="str">
        <f t="shared" si="4"/>
        <v/>
      </c>
      <c r="O288" s="34"/>
      <c r="P288" s="34"/>
      <c r="Q288" s="34"/>
      <c r="R288" s="34"/>
      <c r="S288" s="34"/>
      <c r="T288" s="34"/>
      <c r="U288" s="34"/>
      <c r="V288" s="34"/>
    </row>
    <row r="289" spans="1:22">
      <c r="A289" s="35"/>
      <c r="B289" s="3"/>
      <c r="C289" s="35"/>
      <c r="D289" s="34"/>
      <c r="E289" s="34"/>
      <c r="F289" s="35"/>
      <c r="G289" s="35"/>
      <c r="H289" s="3"/>
      <c r="I289" s="35"/>
      <c r="J289" s="35" t="str">
        <f>IF(OR(TRIM(E289)="", TRIM(H289)=""), "", IFERROR(IF(OR(VLOOKUP(E289&amp;"|"&amp;H289&amp;"", DB!$A:$N, 6, FALSE)="", VLOOKUP(E289&amp;"|"&amp;H289&amp;"", DB!$A:$N, 6, FALSE)="-"), "", VLOOKUP(E289&amp;"|"&amp;H289&amp;"", DB!$A:$N, 6, FALSE)), ""))</f>
        <v/>
      </c>
      <c r="K289" s="35"/>
      <c r="L289" s="35"/>
      <c r="M289" s="35"/>
      <c r="N289" s="35" t="str">
        <f t="shared" si="4"/>
        <v/>
      </c>
      <c r="O289" s="34"/>
      <c r="P289" s="34"/>
      <c r="Q289" s="34"/>
      <c r="R289" s="34"/>
      <c r="S289" s="34"/>
      <c r="T289" s="34"/>
      <c r="U289" s="34"/>
      <c r="V289" s="34"/>
    </row>
    <row r="290" spans="1:22">
      <c r="A290" s="35"/>
      <c r="B290" s="3"/>
      <c r="C290" s="35"/>
      <c r="D290" s="34"/>
      <c r="E290" s="34"/>
      <c r="F290" s="35"/>
      <c r="G290" s="35"/>
      <c r="H290" s="3"/>
      <c r="I290" s="35"/>
      <c r="J290" s="35" t="str">
        <f>IF(OR(TRIM(E290)="", TRIM(H290)=""), "", IFERROR(IF(OR(VLOOKUP(E290&amp;"|"&amp;H290&amp;"", DB!$A:$N, 6, FALSE)="", VLOOKUP(E290&amp;"|"&amp;H290&amp;"", DB!$A:$N, 6, FALSE)="-"), "", VLOOKUP(E290&amp;"|"&amp;H290&amp;"", DB!$A:$N, 6, FALSE)), ""))</f>
        <v/>
      </c>
      <c r="K290" s="35"/>
      <c r="L290" s="35"/>
      <c r="M290" s="35"/>
      <c r="N290" s="35" t="str">
        <f t="shared" si="4"/>
        <v/>
      </c>
      <c r="O290" s="34"/>
      <c r="P290" s="34"/>
      <c r="Q290" s="34"/>
      <c r="R290" s="34"/>
      <c r="S290" s="34"/>
      <c r="T290" s="34"/>
      <c r="U290" s="34"/>
      <c r="V290" s="34"/>
    </row>
    <row r="291" spans="1:22">
      <c r="A291" s="35"/>
      <c r="B291" s="3"/>
      <c r="C291" s="35"/>
      <c r="D291" s="34"/>
      <c r="E291" s="34"/>
      <c r="F291" s="35"/>
      <c r="G291" s="35"/>
      <c r="H291" s="3"/>
      <c r="I291" s="35"/>
      <c r="J291" s="35" t="str">
        <f>IF(OR(TRIM(E291)="", TRIM(H291)=""), "", IFERROR(IF(OR(VLOOKUP(E291&amp;"|"&amp;H291&amp;"", DB!$A:$N, 6, FALSE)="", VLOOKUP(E291&amp;"|"&amp;H291&amp;"", DB!$A:$N, 6, FALSE)="-"), "", VLOOKUP(E291&amp;"|"&amp;H291&amp;"", DB!$A:$N, 6, FALSE)), ""))</f>
        <v/>
      </c>
      <c r="K291" s="35"/>
      <c r="L291" s="35"/>
      <c r="M291" s="35"/>
      <c r="N291" s="35" t="str">
        <f t="shared" si="4"/>
        <v/>
      </c>
      <c r="O291" s="34"/>
      <c r="P291" s="34"/>
      <c r="Q291" s="34"/>
      <c r="R291" s="34"/>
      <c r="S291" s="34"/>
      <c r="T291" s="34"/>
      <c r="U291" s="34"/>
      <c r="V291" s="34"/>
    </row>
    <row r="292" spans="1:22">
      <c r="A292" s="35"/>
      <c r="B292" s="3"/>
      <c r="C292" s="35"/>
      <c r="D292" s="34"/>
      <c r="E292" s="34"/>
      <c r="F292" s="35"/>
      <c r="G292" s="35"/>
      <c r="H292" s="3"/>
      <c r="I292" s="35"/>
      <c r="J292" s="35" t="str">
        <f>IF(OR(TRIM(E292)="", TRIM(H292)=""), "", IFERROR(IF(OR(VLOOKUP(E292&amp;"|"&amp;H292&amp;"", DB!$A:$N, 6, FALSE)="", VLOOKUP(E292&amp;"|"&amp;H292&amp;"", DB!$A:$N, 6, FALSE)="-"), "", VLOOKUP(E292&amp;"|"&amp;H292&amp;"", DB!$A:$N, 6, FALSE)), ""))</f>
        <v/>
      </c>
      <c r="K292" s="35"/>
      <c r="L292" s="35"/>
      <c r="M292" s="35"/>
      <c r="N292" s="35" t="str">
        <f t="shared" si="4"/>
        <v/>
      </c>
      <c r="O292" s="34"/>
      <c r="P292" s="34"/>
      <c r="Q292" s="34"/>
      <c r="R292" s="34"/>
      <c r="S292" s="34"/>
      <c r="T292" s="34"/>
      <c r="U292" s="34"/>
      <c r="V292" s="34"/>
    </row>
    <row r="293" spans="1:22">
      <c r="A293" s="35"/>
      <c r="B293" s="3"/>
      <c r="C293" s="35"/>
      <c r="D293" s="34"/>
      <c r="E293" s="34"/>
      <c r="F293" s="35"/>
      <c r="G293" s="35"/>
      <c r="H293" s="3"/>
      <c r="I293" s="35"/>
      <c r="J293" s="35" t="str">
        <f>IF(OR(TRIM(E293)="", TRIM(H293)=""), "", IFERROR(IF(OR(VLOOKUP(E293&amp;"|"&amp;H293&amp;"", DB!$A:$N, 6, FALSE)="", VLOOKUP(E293&amp;"|"&amp;H293&amp;"", DB!$A:$N, 6, FALSE)="-"), "", VLOOKUP(E293&amp;"|"&amp;H293&amp;"", DB!$A:$N, 6, FALSE)), ""))</f>
        <v/>
      </c>
      <c r="K293" s="35"/>
      <c r="L293" s="35"/>
      <c r="M293" s="35"/>
      <c r="N293" s="35" t="str">
        <f t="shared" si="4"/>
        <v/>
      </c>
      <c r="O293" s="34"/>
      <c r="P293" s="34"/>
      <c r="Q293" s="34"/>
      <c r="R293" s="34"/>
      <c r="S293" s="34"/>
      <c r="T293" s="34"/>
      <c r="U293" s="34"/>
      <c r="V293" s="34"/>
    </row>
    <row r="294" spans="1:22">
      <c r="A294" s="35"/>
      <c r="B294" s="3"/>
      <c r="C294" s="35"/>
      <c r="D294" s="34"/>
      <c r="E294" s="34"/>
      <c r="F294" s="35"/>
      <c r="G294" s="35"/>
      <c r="H294" s="3"/>
      <c r="I294" s="35"/>
      <c r="J294" s="35" t="str">
        <f>IF(OR(TRIM(E294)="", TRIM(H294)=""), "", IFERROR(IF(OR(VLOOKUP(E294&amp;"|"&amp;H294&amp;"", DB!$A:$N, 6, FALSE)="", VLOOKUP(E294&amp;"|"&amp;H294&amp;"", DB!$A:$N, 6, FALSE)="-"), "", VLOOKUP(E294&amp;"|"&amp;H294&amp;"", DB!$A:$N, 6, FALSE)), ""))</f>
        <v/>
      </c>
      <c r="K294" s="35"/>
      <c r="L294" s="35"/>
      <c r="M294" s="35"/>
      <c r="N294" s="35" t="str">
        <f t="shared" si="4"/>
        <v/>
      </c>
      <c r="O294" s="34"/>
      <c r="P294" s="34"/>
      <c r="Q294" s="34"/>
      <c r="R294" s="34"/>
      <c r="S294" s="34"/>
      <c r="T294" s="34"/>
      <c r="U294" s="34"/>
      <c r="V294" s="34"/>
    </row>
    <row r="295" spans="1:22">
      <c r="A295" s="35"/>
      <c r="B295" s="3"/>
      <c r="C295" s="35"/>
      <c r="D295" s="34"/>
      <c r="E295" s="34"/>
      <c r="F295" s="35"/>
      <c r="G295" s="35"/>
      <c r="H295" s="3"/>
      <c r="I295" s="35"/>
      <c r="J295" s="35" t="str">
        <f>IF(OR(TRIM(E295)="", TRIM(H295)=""), "", IFERROR(IF(OR(VLOOKUP(E295&amp;"|"&amp;H295&amp;"", DB!$A:$N, 6, FALSE)="", VLOOKUP(E295&amp;"|"&amp;H295&amp;"", DB!$A:$N, 6, FALSE)="-"), "", VLOOKUP(E295&amp;"|"&amp;H295&amp;"", DB!$A:$N, 6, FALSE)), ""))</f>
        <v/>
      </c>
      <c r="K295" s="35"/>
      <c r="L295" s="35"/>
      <c r="M295" s="35"/>
      <c r="N295" s="35" t="str">
        <f t="shared" si="4"/>
        <v/>
      </c>
      <c r="O295" s="34"/>
      <c r="P295" s="34"/>
      <c r="Q295" s="34"/>
      <c r="R295" s="34"/>
      <c r="S295" s="34"/>
      <c r="T295" s="34"/>
      <c r="U295" s="34"/>
      <c r="V295" s="34"/>
    </row>
    <row r="296" spans="1:22">
      <c r="A296" s="35"/>
      <c r="B296" s="3"/>
      <c r="C296" s="35"/>
      <c r="D296" s="34"/>
      <c r="E296" s="34"/>
      <c r="F296" s="35"/>
      <c r="G296" s="35"/>
      <c r="H296" s="3"/>
      <c r="I296" s="35"/>
      <c r="J296" s="35" t="str">
        <f>IF(OR(TRIM(E296)="", TRIM(H296)=""), "", IFERROR(IF(OR(VLOOKUP(E296&amp;"|"&amp;H296&amp;"", DB!$A:$N, 6, FALSE)="", VLOOKUP(E296&amp;"|"&amp;H296&amp;"", DB!$A:$N, 6, FALSE)="-"), "", VLOOKUP(E296&amp;"|"&amp;H296&amp;"", DB!$A:$N, 6, FALSE)), ""))</f>
        <v/>
      </c>
      <c r="K296" s="35"/>
      <c r="L296" s="35"/>
      <c r="M296" s="35"/>
      <c r="N296" s="35" t="str">
        <f t="shared" si="4"/>
        <v/>
      </c>
      <c r="O296" s="34"/>
      <c r="P296" s="34"/>
      <c r="Q296" s="34"/>
      <c r="R296" s="34"/>
      <c r="S296" s="34"/>
      <c r="T296" s="34"/>
      <c r="U296" s="34"/>
      <c r="V296" s="34"/>
    </row>
    <row r="297" spans="1:22">
      <c r="A297" s="35"/>
      <c r="B297" s="3"/>
      <c r="C297" s="35"/>
      <c r="D297" s="34"/>
      <c r="E297" s="34"/>
      <c r="F297" s="35"/>
      <c r="G297" s="35"/>
      <c r="H297" s="3"/>
      <c r="I297" s="35"/>
      <c r="J297" s="35" t="str">
        <f>IF(OR(TRIM(E297)="", TRIM(H297)=""), "", IFERROR(IF(OR(VLOOKUP(E297&amp;"|"&amp;H297&amp;"", DB!$A:$N, 6, FALSE)="", VLOOKUP(E297&amp;"|"&amp;H297&amp;"", DB!$A:$N, 6, FALSE)="-"), "", VLOOKUP(E297&amp;"|"&amp;H297&amp;"", DB!$A:$N, 6, FALSE)), ""))</f>
        <v/>
      </c>
      <c r="K297" s="35"/>
      <c r="L297" s="35"/>
      <c r="M297" s="35"/>
      <c r="N297" s="35" t="str">
        <f t="shared" si="4"/>
        <v/>
      </c>
      <c r="O297" s="34"/>
      <c r="P297" s="34"/>
      <c r="Q297" s="34"/>
      <c r="R297" s="34"/>
      <c r="S297" s="34"/>
      <c r="T297" s="34"/>
      <c r="U297" s="34"/>
      <c r="V297" s="34"/>
    </row>
    <row r="298" spans="1:22">
      <c r="A298" s="35"/>
      <c r="B298" s="3"/>
      <c r="C298" s="35"/>
      <c r="D298" s="34"/>
      <c r="E298" s="34"/>
      <c r="F298" s="35"/>
      <c r="G298" s="35"/>
      <c r="H298" s="3"/>
      <c r="I298" s="35"/>
      <c r="J298" s="35" t="str">
        <f>IF(OR(TRIM(E298)="", TRIM(H298)=""), "", IFERROR(IF(OR(VLOOKUP(E298&amp;"|"&amp;H298&amp;"", DB!$A:$N, 6, FALSE)="", VLOOKUP(E298&amp;"|"&amp;H298&amp;"", DB!$A:$N, 6, FALSE)="-"), "", VLOOKUP(E298&amp;"|"&amp;H298&amp;"", DB!$A:$N, 6, FALSE)), ""))</f>
        <v/>
      </c>
      <c r="K298" s="35"/>
      <c r="L298" s="35"/>
      <c r="M298" s="35"/>
      <c r="N298" s="35" t="str">
        <f t="shared" si="4"/>
        <v/>
      </c>
      <c r="O298" s="34"/>
      <c r="P298" s="34"/>
      <c r="Q298" s="34"/>
      <c r="R298" s="34"/>
      <c r="S298" s="34"/>
      <c r="T298" s="34"/>
      <c r="U298" s="34"/>
      <c r="V298" s="34"/>
    </row>
    <row r="299" spans="1:22">
      <c r="A299" s="35"/>
      <c r="B299" s="3"/>
      <c r="C299" s="35"/>
      <c r="D299" s="34"/>
      <c r="E299" s="34"/>
      <c r="F299" s="35"/>
      <c r="G299" s="35"/>
      <c r="H299" s="3"/>
      <c r="I299" s="35"/>
      <c r="J299" s="35" t="str">
        <f>IF(OR(TRIM(E299)="", TRIM(H299)=""), "", IFERROR(IF(OR(VLOOKUP(E299&amp;"|"&amp;H299&amp;"", DB!$A:$N, 6, FALSE)="", VLOOKUP(E299&amp;"|"&amp;H299&amp;"", DB!$A:$N, 6, FALSE)="-"), "", VLOOKUP(E299&amp;"|"&amp;H299&amp;"", DB!$A:$N, 6, FALSE)), ""))</f>
        <v/>
      </c>
      <c r="K299" s="35"/>
      <c r="L299" s="35"/>
      <c r="M299" s="35"/>
      <c r="N299" s="35" t="str">
        <f t="shared" si="4"/>
        <v/>
      </c>
      <c r="O299" s="34"/>
      <c r="P299" s="34"/>
      <c r="Q299" s="34"/>
      <c r="R299" s="34"/>
      <c r="S299" s="34"/>
      <c r="T299" s="34"/>
      <c r="U299" s="34"/>
      <c r="V299" s="34"/>
    </row>
    <row r="300" spans="1:22">
      <c r="A300" s="35"/>
      <c r="B300" s="3"/>
      <c r="C300" s="35"/>
      <c r="D300" s="34"/>
      <c r="E300" s="34"/>
      <c r="F300" s="35"/>
      <c r="G300" s="35"/>
      <c r="H300" s="3"/>
      <c r="I300" s="35"/>
      <c r="J300" s="35" t="str">
        <f>IF(OR(TRIM(E300)="", TRIM(H300)=""), "", IFERROR(IF(OR(VLOOKUP(E300&amp;"|"&amp;H300&amp;"", DB!$A:$N, 6, FALSE)="", VLOOKUP(E300&amp;"|"&amp;H300&amp;"", DB!$A:$N, 6, FALSE)="-"), "", VLOOKUP(E300&amp;"|"&amp;H300&amp;"", DB!$A:$N, 6, FALSE)), ""))</f>
        <v/>
      </c>
      <c r="K300" s="35"/>
      <c r="L300" s="35"/>
      <c r="M300" s="35"/>
      <c r="N300" s="35" t="str">
        <f t="shared" si="4"/>
        <v/>
      </c>
      <c r="O300" s="34"/>
      <c r="P300" s="34"/>
      <c r="Q300" s="34"/>
      <c r="R300" s="34"/>
      <c r="S300" s="34"/>
      <c r="T300" s="34"/>
      <c r="U300" s="34"/>
      <c r="V300" s="34"/>
    </row>
    <row r="301" spans="1:22">
      <c r="A301" s="35"/>
      <c r="B301" s="3"/>
      <c r="C301" s="35"/>
      <c r="D301" s="34"/>
      <c r="E301" s="34"/>
      <c r="F301" s="35"/>
      <c r="G301" s="35"/>
      <c r="H301" s="3"/>
      <c r="I301" s="35"/>
      <c r="J301" s="35" t="str">
        <f>IF(OR(TRIM(E301)="", TRIM(H301)=""), "", IFERROR(IF(OR(VLOOKUP(E301&amp;"|"&amp;H301&amp;"", DB!$A:$N, 6, FALSE)="", VLOOKUP(E301&amp;"|"&amp;H301&amp;"", DB!$A:$N, 6, FALSE)="-"), "", VLOOKUP(E301&amp;"|"&amp;H301&amp;"", DB!$A:$N, 6, FALSE)), ""))</f>
        <v/>
      </c>
      <c r="K301" s="35"/>
      <c r="L301" s="35"/>
      <c r="M301" s="35"/>
      <c r="N301" s="35" t="str">
        <f t="shared" si="4"/>
        <v/>
      </c>
      <c r="O301" s="34"/>
      <c r="P301" s="34"/>
      <c r="Q301" s="34"/>
      <c r="R301" s="34"/>
      <c r="S301" s="34"/>
      <c r="T301" s="34"/>
      <c r="U301" s="34"/>
      <c r="V301" s="34"/>
    </row>
    <row r="302" spans="1:22">
      <c r="A302" s="35"/>
      <c r="B302" s="3"/>
      <c r="C302" s="35"/>
      <c r="D302" s="34"/>
      <c r="E302" s="34"/>
      <c r="F302" s="35"/>
      <c r="G302" s="35"/>
      <c r="H302" s="3"/>
      <c r="I302" s="35"/>
      <c r="J302" s="35" t="str">
        <f>IF(OR(TRIM(E302)="", TRIM(H302)=""), "", IFERROR(IF(OR(VLOOKUP(E302&amp;"|"&amp;H302&amp;"", DB!$A:$N, 6, FALSE)="", VLOOKUP(E302&amp;"|"&amp;H302&amp;"", DB!$A:$N, 6, FALSE)="-"), "", VLOOKUP(E302&amp;"|"&amp;H302&amp;"", DB!$A:$N, 6, FALSE)), ""))</f>
        <v/>
      </c>
      <c r="K302" s="35"/>
      <c r="L302" s="35"/>
      <c r="M302" s="35"/>
      <c r="N302" s="35" t="str">
        <f t="shared" si="4"/>
        <v/>
      </c>
      <c r="O302" s="34"/>
      <c r="P302" s="34"/>
      <c r="Q302" s="34"/>
      <c r="R302" s="34"/>
      <c r="S302" s="34"/>
      <c r="T302" s="34"/>
      <c r="U302" s="34"/>
      <c r="V302" s="34"/>
    </row>
    <row r="303" spans="1:22">
      <c r="A303" s="35"/>
      <c r="B303" s="3"/>
      <c r="C303" s="35"/>
      <c r="D303" s="34"/>
      <c r="E303" s="34"/>
      <c r="F303" s="35"/>
      <c r="G303" s="35"/>
      <c r="H303" s="3"/>
      <c r="I303" s="35"/>
      <c r="J303" s="35" t="str">
        <f>IF(OR(TRIM(E303)="", TRIM(H303)=""), "", IFERROR(IF(OR(VLOOKUP(E303&amp;"|"&amp;H303&amp;"", DB!$A:$N, 6, FALSE)="", VLOOKUP(E303&amp;"|"&amp;H303&amp;"", DB!$A:$N, 6, FALSE)="-"), "", VLOOKUP(E303&amp;"|"&amp;H303&amp;"", DB!$A:$N, 6, FALSE)), ""))</f>
        <v/>
      </c>
      <c r="K303" s="35"/>
      <c r="L303" s="35"/>
      <c r="M303" s="35"/>
      <c r="N303" s="35" t="str">
        <f t="shared" si="4"/>
        <v/>
      </c>
      <c r="O303" s="34"/>
      <c r="P303" s="34"/>
      <c r="Q303" s="34"/>
      <c r="R303" s="34"/>
      <c r="S303" s="34"/>
      <c r="T303" s="34"/>
      <c r="U303" s="34"/>
      <c r="V303" s="34"/>
    </row>
    <row r="304" spans="1:22">
      <c r="A304" s="35"/>
      <c r="B304" s="3"/>
      <c r="C304" s="35"/>
      <c r="D304" s="34"/>
      <c r="E304" s="34"/>
      <c r="F304" s="35"/>
      <c r="G304" s="35"/>
      <c r="H304" s="3"/>
      <c r="I304" s="35"/>
      <c r="J304" s="35" t="str">
        <f>IF(OR(TRIM(E304)="", TRIM(H304)=""), "", IFERROR(IF(OR(VLOOKUP(E304&amp;"|"&amp;H304&amp;"", DB!$A:$N, 6, FALSE)="", VLOOKUP(E304&amp;"|"&amp;H304&amp;"", DB!$A:$N, 6, FALSE)="-"), "", VLOOKUP(E304&amp;"|"&amp;H304&amp;"", DB!$A:$N, 6, FALSE)), ""))</f>
        <v/>
      </c>
      <c r="K304" s="35"/>
      <c r="L304" s="35"/>
      <c r="M304" s="35"/>
      <c r="N304" s="35" t="str">
        <f t="shared" si="4"/>
        <v/>
      </c>
      <c r="O304" s="34"/>
      <c r="P304" s="34"/>
      <c r="Q304" s="34"/>
      <c r="R304" s="34"/>
      <c r="S304" s="34"/>
      <c r="T304" s="34"/>
      <c r="U304" s="34"/>
      <c r="V304" s="34"/>
    </row>
    <row r="305" spans="1:22">
      <c r="A305" s="35"/>
      <c r="B305" s="3"/>
      <c r="C305" s="35"/>
      <c r="D305" s="34"/>
      <c r="E305" s="34"/>
      <c r="F305" s="35"/>
      <c r="G305" s="35"/>
      <c r="H305" s="3"/>
      <c r="I305" s="35"/>
      <c r="J305" s="35" t="str">
        <f>IF(OR(TRIM(E305)="", TRIM(H305)=""), "", IFERROR(IF(OR(VLOOKUP(E305&amp;"|"&amp;H305&amp;"", DB!$A:$N, 6, FALSE)="", VLOOKUP(E305&amp;"|"&amp;H305&amp;"", DB!$A:$N, 6, FALSE)="-"), "", VLOOKUP(E305&amp;"|"&amp;H305&amp;"", DB!$A:$N, 6, FALSE)), ""))</f>
        <v/>
      </c>
      <c r="K305" s="35"/>
      <c r="L305" s="35"/>
      <c r="M305" s="35"/>
      <c r="N305" s="35" t="str">
        <f t="shared" si="4"/>
        <v/>
      </c>
      <c r="O305" s="34"/>
      <c r="P305" s="34"/>
      <c r="Q305" s="34"/>
      <c r="R305" s="34"/>
      <c r="S305" s="34"/>
      <c r="T305" s="34"/>
      <c r="U305" s="34"/>
      <c r="V305" s="34"/>
    </row>
    <row r="306" spans="1:22">
      <c r="A306" s="35"/>
      <c r="B306" s="3"/>
      <c r="C306" s="35"/>
      <c r="D306" s="34"/>
      <c r="E306" s="34"/>
      <c r="F306" s="35"/>
      <c r="G306" s="35"/>
      <c r="H306" s="3"/>
      <c r="I306" s="35"/>
      <c r="J306" s="35" t="str">
        <f>IF(OR(TRIM(E306)="", TRIM(H306)=""), "", IFERROR(IF(OR(VLOOKUP(E306&amp;"|"&amp;H306&amp;"", DB!$A:$N, 6, FALSE)="", VLOOKUP(E306&amp;"|"&amp;H306&amp;"", DB!$A:$N, 6, FALSE)="-"), "", VLOOKUP(E306&amp;"|"&amp;H306&amp;"", DB!$A:$N, 6, FALSE)), ""))</f>
        <v/>
      </c>
      <c r="K306" s="35"/>
      <c r="L306" s="35"/>
      <c r="M306" s="35"/>
      <c r="N306" s="35" t="str">
        <f t="shared" si="4"/>
        <v/>
      </c>
      <c r="O306" s="34"/>
      <c r="P306" s="34"/>
      <c r="Q306" s="34"/>
      <c r="R306" s="34"/>
      <c r="S306" s="34"/>
      <c r="T306" s="34"/>
      <c r="U306" s="34"/>
      <c r="V306" s="34"/>
    </row>
    <row r="307" spans="1:22">
      <c r="A307" s="35"/>
      <c r="B307" s="3"/>
      <c r="C307" s="35"/>
      <c r="D307" s="34"/>
      <c r="E307" s="34"/>
      <c r="F307" s="35"/>
      <c r="G307" s="35"/>
      <c r="H307" s="3"/>
      <c r="I307" s="35"/>
      <c r="J307" s="35" t="str">
        <f>IF(OR(TRIM(E307)="", TRIM(H307)=""), "", IFERROR(IF(OR(VLOOKUP(E307&amp;"|"&amp;H307&amp;"", DB!$A:$N, 6, FALSE)="", VLOOKUP(E307&amp;"|"&amp;H307&amp;"", DB!$A:$N, 6, FALSE)="-"), "", VLOOKUP(E307&amp;"|"&amp;H307&amp;"", DB!$A:$N, 6, FALSE)), ""))</f>
        <v/>
      </c>
      <c r="K307" s="35"/>
      <c r="L307" s="35"/>
      <c r="M307" s="35"/>
      <c r="N307" s="35" t="str">
        <f t="shared" si="4"/>
        <v/>
      </c>
      <c r="O307" s="34"/>
      <c r="P307" s="34"/>
      <c r="Q307" s="34"/>
      <c r="R307" s="34"/>
      <c r="S307" s="34"/>
      <c r="T307" s="34"/>
      <c r="U307" s="34"/>
      <c r="V307" s="34"/>
    </row>
    <row r="308" spans="1:22">
      <c r="A308" s="35"/>
      <c r="B308" s="3"/>
      <c r="C308" s="35"/>
      <c r="D308" s="34"/>
      <c r="E308" s="34"/>
      <c r="F308" s="35"/>
      <c r="G308" s="35"/>
      <c r="H308" s="3"/>
      <c r="I308" s="35"/>
      <c r="J308" s="35" t="str">
        <f>IF(OR(TRIM(E308)="", TRIM(H308)=""), "", IFERROR(IF(OR(VLOOKUP(E308&amp;"|"&amp;H308&amp;"", DB!$A:$N, 6, FALSE)="", VLOOKUP(E308&amp;"|"&amp;H308&amp;"", DB!$A:$N, 6, FALSE)="-"), "", VLOOKUP(E308&amp;"|"&amp;H308&amp;"", DB!$A:$N, 6, FALSE)), ""))</f>
        <v/>
      </c>
      <c r="K308" s="35"/>
      <c r="L308" s="35"/>
      <c r="M308" s="35"/>
      <c r="N308" s="35" t="str">
        <f t="shared" si="4"/>
        <v/>
      </c>
      <c r="O308" s="34"/>
      <c r="P308" s="34"/>
      <c r="Q308" s="34"/>
      <c r="R308" s="34"/>
      <c r="S308" s="34"/>
      <c r="T308" s="34"/>
      <c r="U308" s="34"/>
      <c r="V308" s="34"/>
    </row>
    <row r="309" spans="1:22">
      <c r="A309" s="35"/>
      <c r="B309" s="3"/>
      <c r="C309" s="35"/>
      <c r="D309" s="34"/>
      <c r="E309" s="34"/>
      <c r="F309" s="35"/>
      <c r="G309" s="35"/>
      <c r="H309" s="3"/>
      <c r="I309" s="35"/>
      <c r="J309" s="35" t="str">
        <f>IF(OR(TRIM(E309)="", TRIM(H309)=""), "", IFERROR(IF(OR(VLOOKUP(E309&amp;"|"&amp;H309&amp;"", DB!$A:$N, 6, FALSE)="", VLOOKUP(E309&amp;"|"&amp;H309&amp;"", DB!$A:$N, 6, FALSE)="-"), "", VLOOKUP(E309&amp;"|"&amp;H309&amp;"", DB!$A:$N, 6, FALSE)), ""))</f>
        <v/>
      </c>
      <c r="K309" s="35"/>
      <c r="L309" s="35"/>
      <c r="M309" s="35"/>
      <c r="N309" s="35" t="str">
        <f t="shared" si="4"/>
        <v/>
      </c>
      <c r="O309" s="34"/>
      <c r="P309" s="34"/>
      <c r="Q309" s="34"/>
      <c r="R309" s="34"/>
      <c r="S309" s="34"/>
      <c r="T309" s="34"/>
      <c r="U309" s="34"/>
      <c r="V309" s="34"/>
    </row>
    <row r="310" spans="1:22">
      <c r="A310" s="35"/>
      <c r="B310" s="3"/>
      <c r="C310" s="35"/>
      <c r="D310" s="34"/>
      <c r="E310" s="34"/>
      <c r="F310" s="35"/>
      <c r="G310" s="35"/>
      <c r="H310" s="3"/>
      <c r="I310" s="35"/>
      <c r="J310" s="35" t="str">
        <f>IF(OR(TRIM(E310)="", TRIM(H310)=""), "", IFERROR(IF(OR(VLOOKUP(E310&amp;"|"&amp;H310&amp;"", DB!$A:$N, 6, FALSE)="", VLOOKUP(E310&amp;"|"&amp;H310&amp;"", DB!$A:$N, 6, FALSE)="-"), "", VLOOKUP(E310&amp;"|"&amp;H310&amp;"", DB!$A:$N, 6, FALSE)), ""))</f>
        <v/>
      </c>
      <c r="K310" s="35"/>
      <c r="L310" s="35"/>
      <c r="M310" s="35"/>
      <c r="N310" s="35" t="str">
        <f t="shared" si="4"/>
        <v/>
      </c>
      <c r="O310" s="34"/>
      <c r="P310" s="34"/>
      <c r="Q310" s="34"/>
      <c r="R310" s="34"/>
      <c r="S310" s="34"/>
      <c r="T310" s="34"/>
      <c r="U310" s="34"/>
      <c r="V310" s="34"/>
    </row>
    <row r="311" spans="1:22">
      <c r="A311" s="35"/>
      <c r="B311" s="3"/>
      <c r="C311" s="35"/>
      <c r="D311" s="34"/>
      <c r="E311" s="34"/>
      <c r="F311" s="35"/>
      <c r="G311" s="35"/>
      <c r="H311" s="3"/>
      <c r="I311" s="35"/>
      <c r="J311" s="35" t="str">
        <f>IF(OR(TRIM(E311)="", TRIM(H311)=""), "", IFERROR(IF(OR(VLOOKUP(E311&amp;"|"&amp;H311&amp;"", DB!$A:$N, 6, FALSE)="", VLOOKUP(E311&amp;"|"&amp;H311&amp;"", DB!$A:$N, 6, FALSE)="-"), "", VLOOKUP(E311&amp;"|"&amp;H311&amp;"", DB!$A:$N, 6, FALSE)), ""))</f>
        <v/>
      </c>
      <c r="K311" s="35"/>
      <c r="L311" s="35"/>
      <c r="M311" s="35"/>
      <c r="N311" s="35" t="str">
        <f t="shared" si="4"/>
        <v/>
      </c>
      <c r="O311" s="34"/>
      <c r="P311" s="34"/>
      <c r="Q311" s="34"/>
      <c r="R311" s="34"/>
      <c r="S311" s="34"/>
      <c r="T311" s="34"/>
      <c r="U311" s="34"/>
      <c r="V311" s="34"/>
    </row>
    <row r="312" spans="1:22">
      <c r="A312" s="35"/>
      <c r="B312" s="3"/>
      <c r="C312" s="35"/>
      <c r="D312" s="34"/>
      <c r="E312" s="34"/>
      <c r="F312" s="35"/>
      <c r="G312" s="35"/>
      <c r="H312" s="3"/>
      <c r="I312" s="35"/>
      <c r="J312" s="35" t="str">
        <f>IF(OR(TRIM(E312)="", TRIM(H312)=""), "", IFERROR(IF(OR(VLOOKUP(E312&amp;"|"&amp;H312&amp;"", DB!$A:$N, 6, FALSE)="", VLOOKUP(E312&amp;"|"&amp;H312&amp;"", DB!$A:$N, 6, FALSE)="-"), "", VLOOKUP(E312&amp;"|"&amp;H312&amp;"", DB!$A:$N, 6, FALSE)), ""))</f>
        <v/>
      </c>
      <c r="K312" s="35"/>
      <c r="L312" s="35"/>
      <c r="M312" s="35"/>
      <c r="N312" s="35" t="str">
        <f t="shared" si="4"/>
        <v/>
      </c>
      <c r="O312" s="34"/>
      <c r="P312" s="34"/>
      <c r="Q312" s="34"/>
      <c r="R312" s="34"/>
      <c r="S312" s="34"/>
      <c r="T312" s="34"/>
      <c r="U312" s="34"/>
      <c r="V312" s="34"/>
    </row>
    <row r="313" spans="1:22">
      <c r="A313" s="35"/>
      <c r="B313" s="3"/>
      <c r="C313" s="35"/>
      <c r="D313" s="34"/>
      <c r="E313" s="34"/>
      <c r="F313" s="35"/>
      <c r="G313" s="35"/>
      <c r="H313" s="3"/>
      <c r="I313" s="35"/>
      <c r="J313" s="35" t="str">
        <f>IF(OR(TRIM(E313)="", TRIM(H313)=""), "", IFERROR(IF(OR(VLOOKUP(E313&amp;"|"&amp;H313&amp;"", DB!$A:$N, 6, FALSE)="", VLOOKUP(E313&amp;"|"&amp;H313&amp;"", DB!$A:$N, 6, FALSE)="-"), "", VLOOKUP(E313&amp;"|"&amp;H313&amp;"", DB!$A:$N, 6, FALSE)), ""))</f>
        <v/>
      </c>
      <c r="K313" s="35"/>
      <c r="L313" s="35"/>
      <c r="M313" s="35"/>
      <c r="N313" s="35" t="str">
        <f t="shared" si="4"/>
        <v/>
      </c>
      <c r="O313" s="34"/>
      <c r="P313" s="34"/>
      <c r="Q313" s="34"/>
      <c r="R313" s="34"/>
      <c r="S313" s="34"/>
      <c r="T313" s="34"/>
      <c r="U313" s="34"/>
      <c r="V313" s="34"/>
    </row>
    <row r="314" spans="1:22">
      <c r="A314" s="35"/>
      <c r="B314" s="3"/>
      <c r="C314" s="35"/>
      <c r="D314" s="34"/>
      <c r="E314" s="34"/>
      <c r="F314" s="35"/>
      <c r="G314" s="35"/>
      <c r="H314" s="3"/>
      <c r="I314" s="35"/>
      <c r="J314" s="35" t="str">
        <f>IF(OR(TRIM(E314)="", TRIM(H314)=""), "", IFERROR(IF(OR(VLOOKUP(E314&amp;"|"&amp;H314&amp;"", DB!$A:$N, 6, FALSE)="", VLOOKUP(E314&amp;"|"&amp;H314&amp;"", DB!$A:$N, 6, FALSE)="-"), "", VLOOKUP(E314&amp;"|"&amp;H314&amp;"", DB!$A:$N, 6, FALSE)), ""))</f>
        <v/>
      </c>
      <c r="K314" s="35"/>
      <c r="L314" s="35"/>
      <c r="M314" s="35"/>
      <c r="N314" s="35" t="str">
        <f t="shared" si="4"/>
        <v/>
      </c>
      <c r="O314" s="34"/>
      <c r="P314" s="34"/>
      <c r="Q314" s="34"/>
      <c r="R314" s="34"/>
      <c r="S314" s="34"/>
      <c r="T314" s="34"/>
      <c r="U314" s="34"/>
      <c r="V314" s="34"/>
    </row>
    <row r="315" spans="1:22">
      <c r="A315" s="35"/>
      <c r="B315" s="3"/>
      <c r="C315" s="35"/>
      <c r="D315" s="34"/>
      <c r="E315" s="34"/>
      <c r="F315" s="35"/>
      <c r="G315" s="35"/>
      <c r="H315" s="3"/>
      <c r="I315" s="35"/>
      <c r="J315" s="35" t="str">
        <f>IF(OR(TRIM(E315)="", TRIM(H315)=""), "", IFERROR(IF(OR(VLOOKUP(E315&amp;"|"&amp;H315&amp;"", DB!$A:$N, 6, FALSE)="", VLOOKUP(E315&amp;"|"&amp;H315&amp;"", DB!$A:$N, 6, FALSE)="-"), "", VLOOKUP(E315&amp;"|"&amp;H315&amp;"", DB!$A:$N, 6, FALSE)), ""))</f>
        <v/>
      </c>
      <c r="K315" s="35"/>
      <c r="L315" s="35"/>
      <c r="M315" s="35"/>
      <c r="N315" s="35" t="str">
        <f t="shared" si="4"/>
        <v/>
      </c>
      <c r="O315" s="34"/>
      <c r="P315" s="34"/>
      <c r="Q315" s="34"/>
      <c r="R315" s="34"/>
      <c r="S315" s="34"/>
      <c r="T315" s="34"/>
      <c r="U315" s="34"/>
      <c r="V315" s="34"/>
    </row>
    <row r="316" spans="1:22">
      <c r="A316" s="35"/>
      <c r="B316" s="3"/>
      <c r="C316" s="35"/>
      <c r="D316" s="34"/>
      <c r="E316" s="34"/>
      <c r="F316" s="35"/>
      <c r="G316" s="35"/>
      <c r="H316" s="3"/>
      <c r="I316" s="35"/>
      <c r="J316" s="35" t="str">
        <f>IF(OR(TRIM(E316)="", TRIM(H316)=""), "", IFERROR(IF(OR(VLOOKUP(E316&amp;"|"&amp;H316&amp;"", DB!$A:$N, 6, FALSE)="", VLOOKUP(E316&amp;"|"&amp;H316&amp;"", DB!$A:$N, 6, FALSE)="-"), "", VLOOKUP(E316&amp;"|"&amp;H316&amp;"", DB!$A:$N, 6, FALSE)), ""))</f>
        <v/>
      </c>
      <c r="K316" s="35"/>
      <c r="L316" s="35"/>
      <c r="M316" s="35"/>
      <c r="N316" s="35" t="str">
        <f t="shared" si="4"/>
        <v/>
      </c>
      <c r="O316" s="34"/>
      <c r="P316" s="34"/>
      <c r="Q316" s="34"/>
      <c r="R316" s="34"/>
      <c r="S316" s="34"/>
      <c r="T316" s="34"/>
      <c r="U316" s="34"/>
      <c r="V316" s="34"/>
    </row>
    <row r="317" spans="1:22">
      <c r="A317" s="35"/>
      <c r="B317" s="3"/>
      <c r="C317" s="35"/>
      <c r="D317" s="34"/>
      <c r="E317" s="34"/>
      <c r="F317" s="35"/>
      <c r="G317" s="35"/>
      <c r="H317" s="3"/>
      <c r="I317" s="35"/>
      <c r="J317" s="35" t="str">
        <f>IF(OR(TRIM(E317)="", TRIM(H317)=""), "", IFERROR(IF(OR(VLOOKUP(E317&amp;"|"&amp;H317&amp;"", DB!$A:$N, 6, FALSE)="", VLOOKUP(E317&amp;"|"&amp;H317&amp;"", DB!$A:$N, 6, FALSE)="-"), "", VLOOKUP(E317&amp;"|"&amp;H317&amp;"", DB!$A:$N, 6, FALSE)), ""))</f>
        <v/>
      </c>
      <c r="K317" s="35"/>
      <c r="L317" s="35"/>
      <c r="M317" s="35"/>
      <c r="N317" s="35" t="str">
        <f t="shared" si="4"/>
        <v/>
      </c>
      <c r="O317" s="34"/>
      <c r="P317" s="34"/>
      <c r="Q317" s="34"/>
      <c r="R317" s="34"/>
      <c r="S317" s="34"/>
      <c r="T317" s="34"/>
      <c r="U317" s="34"/>
      <c r="V317" s="34"/>
    </row>
    <row r="318" spans="1:22">
      <c r="A318" s="35"/>
      <c r="B318" s="3"/>
      <c r="C318" s="35"/>
      <c r="D318" s="34"/>
      <c r="E318" s="34"/>
      <c r="F318" s="35"/>
      <c r="G318" s="35"/>
      <c r="H318" s="3"/>
      <c r="I318" s="35"/>
      <c r="J318" s="35" t="str">
        <f>IF(OR(TRIM(E318)="", TRIM(H318)=""), "", IFERROR(IF(OR(VLOOKUP(E318&amp;"|"&amp;H318&amp;"", DB!$A:$N, 6, FALSE)="", VLOOKUP(E318&amp;"|"&amp;H318&amp;"", DB!$A:$N, 6, FALSE)="-"), "", VLOOKUP(E318&amp;"|"&amp;H318&amp;"", DB!$A:$N, 6, FALSE)), ""))</f>
        <v/>
      </c>
      <c r="K318" s="35"/>
      <c r="L318" s="35"/>
      <c r="M318" s="35"/>
      <c r="N318" s="35" t="str">
        <f t="shared" si="4"/>
        <v/>
      </c>
      <c r="O318" s="34"/>
      <c r="P318" s="34"/>
      <c r="Q318" s="34"/>
      <c r="R318" s="34"/>
      <c r="S318" s="34"/>
      <c r="T318" s="34"/>
      <c r="U318" s="34"/>
      <c r="V318" s="34"/>
    </row>
    <row r="319" spans="1:22">
      <c r="A319" s="35"/>
      <c r="B319" s="3"/>
      <c r="C319" s="35"/>
      <c r="D319" s="34"/>
      <c r="E319" s="34"/>
      <c r="F319" s="35"/>
      <c r="G319" s="35"/>
      <c r="H319" s="3"/>
      <c r="I319" s="35"/>
      <c r="J319" s="35" t="str">
        <f>IF(OR(TRIM(E319)="", TRIM(H319)=""), "", IFERROR(IF(OR(VLOOKUP(E319&amp;"|"&amp;H319&amp;"", DB!$A:$N, 6, FALSE)="", VLOOKUP(E319&amp;"|"&amp;H319&amp;"", DB!$A:$N, 6, FALSE)="-"), "", VLOOKUP(E319&amp;"|"&amp;H319&amp;"", DB!$A:$N, 6, FALSE)), ""))</f>
        <v/>
      </c>
      <c r="K319" s="35"/>
      <c r="L319" s="35"/>
      <c r="M319" s="35"/>
      <c r="N319" s="35" t="str">
        <f t="shared" si="4"/>
        <v/>
      </c>
      <c r="O319" s="34"/>
      <c r="P319" s="34"/>
      <c r="Q319" s="34"/>
      <c r="R319" s="34"/>
      <c r="S319" s="34"/>
      <c r="T319" s="34"/>
      <c r="U319" s="34"/>
      <c r="V319" s="34"/>
    </row>
    <row r="320" spans="1:22">
      <c r="A320" s="35"/>
      <c r="B320" s="3"/>
      <c r="C320" s="35"/>
      <c r="D320" s="34"/>
      <c r="E320" s="34"/>
      <c r="F320" s="35"/>
      <c r="G320" s="35"/>
      <c r="H320" s="3"/>
      <c r="I320" s="35"/>
      <c r="J320" s="35" t="str">
        <f>IF(OR(TRIM(E320)="", TRIM(H320)=""), "", IFERROR(IF(OR(VLOOKUP(E320&amp;"|"&amp;H320&amp;"", DB!$A:$N, 6, FALSE)="", VLOOKUP(E320&amp;"|"&amp;H320&amp;"", DB!$A:$N, 6, FALSE)="-"), "", VLOOKUP(E320&amp;"|"&amp;H320&amp;"", DB!$A:$N, 6, FALSE)), ""))</f>
        <v/>
      </c>
      <c r="K320" s="35"/>
      <c r="L320" s="35"/>
      <c r="M320" s="35"/>
      <c r="N320" s="35" t="str">
        <f t="shared" si="4"/>
        <v/>
      </c>
      <c r="O320" s="34"/>
      <c r="P320" s="34"/>
      <c r="Q320" s="34"/>
      <c r="R320" s="34"/>
      <c r="S320" s="34"/>
      <c r="T320" s="34"/>
      <c r="U320" s="34"/>
      <c r="V320" s="34"/>
    </row>
    <row r="321" spans="1:22">
      <c r="A321" s="35"/>
      <c r="B321" s="3"/>
      <c r="C321" s="35"/>
      <c r="D321" s="34"/>
      <c r="E321" s="34"/>
      <c r="F321" s="35"/>
      <c r="G321" s="35"/>
      <c r="H321" s="3"/>
      <c r="I321" s="35"/>
      <c r="J321" s="35" t="str">
        <f>IF(OR(TRIM(E321)="", TRIM(H321)=""), "", IFERROR(IF(OR(VLOOKUP(E321&amp;"|"&amp;H321&amp;"", DB!$A:$N, 6, FALSE)="", VLOOKUP(E321&amp;"|"&amp;H321&amp;"", DB!$A:$N, 6, FALSE)="-"), "", VLOOKUP(E321&amp;"|"&amp;H321&amp;"", DB!$A:$N, 6, FALSE)), ""))</f>
        <v/>
      </c>
      <c r="K321" s="35"/>
      <c r="L321" s="35"/>
      <c r="M321" s="35"/>
      <c r="N321" s="35" t="str">
        <f t="shared" si="4"/>
        <v/>
      </c>
      <c r="O321" s="34"/>
      <c r="P321" s="34"/>
      <c r="Q321" s="34"/>
      <c r="R321" s="34"/>
      <c r="S321" s="34"/>
      <c r="T321" s="34"/>
      <c r="U321" s="34"/>
      <c r="V321" s="34"/>
    </row>
    <row r="322" spans="1:22">
      <c r="A322" s="35"/>
      <c r="B322" s="3"/>
      <c r="C322" s="35"/>
      <c r="D322" s="34"/>
      <c r="E322" s="34"/>
      <c r="F322" s="35"/>
      <c r="G322" s="35"/>
      <c r="H322" s="3"/>
      <c r="I322" s="35"/>
      <c r="J322" s="35" t="str">
        <f>IF(OR(TRIM(E322)="", TRIM(H322)=""), "", IFERROR(IF(OR(VLOOKUP(E322&amp;"|"&amp;H322&amp;"", DB!$A:$N, 6, FALSE)="", VLOOKUP(E322&amp;"|"&amp;H322&amp;"", DB!$A:$N, 6, FALSE)="-"), "", VLOOKUP(E322&amp;"|"&amp;H322&amp;"", DB!$A:$N, 6, FALSE)), ""))</f>
        <v/>
      </c>
      <c r="K322" s="35"/>
      <c r="L322" s="35"/>
      <c r="M322" s="35"/>
      <c r="N322" s="35" t="str">
        <f t="shared" ref="N322:N385" si="5">IF(TRIM(D322)="", "", IF(N(L322)-N(M322)&lt;=0, "X", N(L322)-N(M322)))</f>
        <v/>
      </c>
      <c r="O322" s="34"/>
      <c r="P322" s="34"/>
      <c r="Q322" s="34"/>
      <c r="R322" s="34"/>
      <c r="S322" s="34"/>
      <c r="T322" s="34"/>
      <c r="U322" s="34"/>
      <c r="V322" s="34"/>
    </row>
    <row r="323" spans="1:22">
      <c r="A323" s="35"/>
      <c r="B323" s="3"/>
      <c r="C323" s="35"/>
      <c r="D323" s="34"/>
      <c r="E323" s="34"/>
      <c r="F323" s="35"/>
      <c r="G323" s="35"/>
      <c r="H323" s="3"/>
      <c r="I323" s="35"/>
      <c r="J323" s="35" t="str">
        <f>IF(OR(TRIM(E323)="", TRIM(H323)=""), "", IFERROR(IF(OR(VLOOKUP(E323&amp;"|"&amp;H323&amp;"", DB!$A:$N, 6, FALSE)="", VLOOKUP(E323&amp;"|"&amp;H323&amp;"", DB!$A:$N, 6, FALSE)="-"), "", VLOOKUP(E323&amp;"|"&amp;H323&amp;"", DB!$A:$N, 6, FALSE)), ""))</f>
        <v/>
      </c>
      <c r="K323" s="35"/>
      <c r="L323" s="35"/>
      <c r="M323" s="35"/>
      <c r="N323" s="35" t="str">
        <f t="shared" si="5"/>
        <v/>
      </c>
      <c r="O323" s="34"/>
      <c r="P323" s="34"/>
      <c r="Q323" s="34"/>
      <c r="R323" s="34"/>
      <c r="S323" s="34"/>
      <c r="T323" s="34"/>
      <c r="U323" s="34"/>
      <c r="V323" s="34"/>
    </row>
    <row r="324" spans="1:22">
      <c r="A324" s="35"/>
      <c r="B324" s="3"/>
      <c r="C324" s="35"/>
      <c r="D324" s="34"/>
      <c r="E324" s="34"/>
      <c r="F324" s="35"/>
      <c r="G324" s="35"/>
      <c r="H324" s="3"/>
      <c r="I324" s="35"/>
      <c r="J324" s="35" t="str">
        <f>IF(OR(TRIM(E324)="", TRIM(H324)=""), "", IFERROR(IF(OR(VLOOKUP(E324&amp;"|"&amp;H324&amp;"", DB!$A:$N, 6, FALSE)="", VLOOKUP(E324&amp;"|"&amp;H324&amp;"", DB!$A:$N, 6, FALSE)="-"), "", VLOOKUP(E324&amp;"|"&amp;H324&amp;"", DB!$A:$N, 6, FALSE)), ""))</f>
        <v/>
      </c>
      <c r="K324" s="35"/>
      <c r="L324" s="35"/>
      <c r="M324" s="35"/>
      <c r="N324" s="35" t="str">
        <f t="shared" si="5"/>
        <v/>
      </c>
      <c r="O324" s="34"/>
      <c r="P324" s="34"/>
      <c r="Q324" s="34"/>
      <c r="R324" s="34"/>
      <c r="S324" s="34"/>
      <c r="T324" s="34"/>
      <c r="U324" s="34"/>
      <c r="V324" s="34"/>
    </row>
    <row r="325" spans="1:22">
      <c r="A325" s="35"/>
      <c r="B325" s="3"/>
      <c r="C325" s="35"/>
      <c r="D325" s="34"/>
      <c r="E325" s="34"/>
      <c r="F325" s="35"/>
      <c r="G325" s="35"/>
      <c r="H325" s="3"/>
      <c r="I325" s="35"/>
      <c r="J325" s="35" t="str">
        <f>IF(OR(TRIM(E325)="", TRIM(H325)=""), "", IFERROR(IF(OR(VLOOKUP(E325&amp;"|"&amp;H325&amp;"", DB!$A:$N, 6, FALSE)="", VLOOKUP(E325&amp;"|"&amp;H325&amp;"", DB!$A:$N, 6, FALSE)="-"), "", VLOOKUP(E325&amp;"|"&amp;H325&amp;"", DB!$A:$N, 6, FALSE)), ""))</f>
        <v/>
      </c>
      <c r="K325" s="35"/>
      <c r="L325" s="35"/>
      <c r="M325" s="35"/>
      <c r="N325" s="35" t="str">
        <f t="shared" si="5"/>
        <v/>
      </c>
      <c r="O325" s="34"/>
      <c r="P325" s="34"/>
      <c r="Q325" s="34"/>
      <c r="R325" s="34"/>
      <c r="S325" s="34"/>
      <c r="T325" s="34"/>
      <c r="U325" s="34"/>
      <c r="V325" s="34"/>
    </row>
    <row r="326" spans="1:22">
      <c r="A326" s="35"/>
      <c r="B326" s="3"/>
      <c r="C326" s="35"/>
      <c r="D326" s="34"/>
      <c r="E326" s="34"/>
      <c r="F326" s="35"/>
      <c r="G326" s="35"/>
      <c r="H326" s="3"/>
      <c r="I326" s="35"/>
      <c r="J326" s="35" t="str">
        <f>IF(OR(TRIM(E326)="", TRIM(H326)=""), "", IFERROR(IF(OR(VLOOKUP(E326&amp;"|"&amp;H326&amp;"", DB!$A:$N, 6, FALSE)="", VLOOKUP(E326&amp;"|"&amp;H326&amp;"", DB!$A:$N, 6, FALSE)="-"), "", VLOOKUP(E326&amp;"|"&amp;H326&amp;"", DB!$A:$N, 6, FALSE)), ""))</f>
        <v/>
      </c>
      <c r="K326" s="35"/>
      <c r="L326" s="35"/>
      <c r="M326" s="35"/>
      <c r="N326" s="35" t="str">
        <f t="shared" si="5"/>
        <v/>
      </c>
      <c r="O326" s="34"/>
      <c r="P326" s="34"/>
      <c r="Q326" s="34"/>
      <c r="R326" s="34"/>
      <c r="S326" s="34"/>
      <c r="T326" s="34"/>
      <c r="U326" s="34"/>
      <c r="V326" s="34"/>
    </row>
    <row r="327" spans="1:22">
      <c r="A327" s="35"/>
      <c r="B327" s="3"/>
      <c r="C327" s="35"/>
      <c r="D327" s="34"/>
      <c r="E327" s="34"/>
      <c r="F327" s="35"/>
      <c r="G327" s="35"/>
      <c r="H327" s="3"/>
      <c r="I327" s="35"/>
      <c r="J327" s="35" t="str">
        <f>IF(OR(TRIM(E327)="", TRIM(H327)=""), "", IFERROR(IF(OR(VLOOKUP(E327&amp;"|"&amp;H327&amp;"", DB!$A:$N, 6, FALSE)="", VLOOKUP(E327&amp;"|"&amp;H327&amp;"", DB!$A:$N, 6, FALSE)="-"), "", VLOOKUP(E327&amp;"|"&amp;H327&amp;"", DB!$A:$N, 6, FALSE)), ""))</f>
        <v/>
      </c>
      <c r="K327" s="35"/>
      <c r="L327" s="35"/>
      <c r="M327" s="35"/>
      <c r="N327" s="35" t="str">
        <f t="shared" si="5"/>
        <v/>
      </c>
      <c r="O327" s="34"/>
      <c r="P327" s="34"/>
      <c r="Q327" s="34"/>
      <c r="R327" s="34"/>
      <c r="S327" s="34"/>
      <c r="T327" s="34"/>
      <c r="U327" s="34"/>
      <c r="V327" s="34"/>
    </row>
    <row r="328" spans="1:22">
      <c r="A328" s="35"/>
      <c r="B328" s="3"/>
      <c r="C328" s="35"/>
      <c r="D328" s="34"/>
      <c r="E328" s="34"/>
      <c r="F328" s="35"/>
      <c r="G328" s="35"/>
      <c r="H328" s="3"/>
      <c r="I328" s="35"/>
      <c r="J328" s="35" t="str">
        <f>IF(OR(TRIM(E328)="", TRIM(H328)=""), "", IFERROR(IF(OR(VLOOKUP(E328&amp;"|"&amp;H328&amp;"", DB!$A:$N, 6, FALSE)="", VLOOKUP(E328&amp;"|"&amp;H328&amp;"", DB!$A:$N, 6, FALSE)="-"), "", VLOOKUP(E328&amp;"|"&amp;H328&amp;"", DB!$A:$N, 6, FALSE)), ""))</f>
        <v/>
      </c>
      <c r="K328" s="35"/>
      <c r="L328" s="35"/>
      <c r="M328" s="35"/>
      <c r="N328" s="35" t="str">
        <f t="shared" si="5"/>
        <v/>
      </c>
      <c r="O328" s="34"/>
      <c r="P328" s="34"/>
      <c r="Q328" s="34"/>
      <c r="R328" s="34"/>
      <c r="S328" s="34"/>
      <c r="T328" s="34"/>
      <c r="U328" s="34"/>
      <c r="V328" s="34"/>
    </row>
    <row r="329" spans="1:22">
      <c r="A329" s="35"/>
      <c r="B329" s="3"/>
      <c r="C329" s="35"/>
      <c r="D329" s="34"/>
      <c r="E329" s="34"/>
      <c r="F329" s="35"/>
      <c r="G329" s="35"/>
      <c r="H329" s="3"/>
      <c r="I329" s="35"/>
      <c r="J329" s="35" t="str">
        <f>IF(OR(TRIM(E329)="", TRIM(H329)=""), "", IFERROR(IF(OR(VLOOKUP(E329&amp;"|"&amp;H329&amp;"", DB!$A:$N, 6, FALSE)="", VLOOKUP(E329&amp;"|"&amp;H329&amp;"", DB!$A:$N, 6, FALSE)="-"), "", VLOOKUP(E329&amp;"|"&amp;H329&amp;"", DB!$A:$N, 6, FALSE)), ""))</f>
        <v/>
      </c>
      <c r="K329" s="35"/>
      <c r="L329" s="35"/>
      <c r="M329" s="35"/>
      <c r="N329" s="35" t="str">
        <f t="shared" si="5"/>
        <v/>
      </c>
      <c r="O329" s="34"/>
      <c r="P329" s="34"/>
      <c r="Q329" s="34"/>
      <c r="R329" s="34"/>
      <c r="S329" s="34"/>
      <c r="T329" s="34"/>
      <c r="U329" s="34"/>
      <c r="V329" s="34"/>
    </row>
    <row r="330" spans="1:22">
      <c r="A330" s="35"/>
      <c r="B330" s="3"/>
      <c r="C330" s="35"/>
      <c r="D330" s="34"/>
      <c r="E330" s="34"/>
      <c r="F330" s="35"/>
      <c r="G330" s="35"/>
      <c r="H330" s="3"/>
      <c r="I330" s="35"/>
      <c r="J330" s="35" t="str">
        <f>IF(OR(TRIM(E330)="", TRIM(H330)=""), "", IFERROR(IF(OR(VLOOKUP(E330&amp;"|"&amp;H330&amp;"", DB!$A:$N, 6, FALSE)="", VLOOKUP(E330&amp;"|"&amp;H330&amp;"", DB!$A:$N, 6, FALSE)="-"), "", VLOOKUP(E330&amp;"|"&amp;H330&amp;"", DB!$A:$N, 6, FALSE)), ""))</f>
        <v/>
      </c>
      <c r="K330" s="35"/>
      <c r="L330" s="35"/>
      <c r="M330" s="35"/>
      <c r="N330" s="35" t="str">
        <f t="shared" si="5"/>
        <v/>
      </c>
      <c r="O330" s="34"/>
      <c r="P330" s="34"/>
      <c r="Q330" s="34"/>
      <c r="R330" s="34"/>
      <c r="S330" s="34"/>
      <c r="T330" s="34"/>
      <c r="U330" s="34"/>
      <c r="V330" s="34"/>
    </row>
    <row r="331" spans="1:22">
      <c r="A331" s="35"/>
      <c r="B331" s="3"/>
      <c r="C331" s="35"/>
      <c r="D331" s="34"/>
      <c r="E331" s="34"/>
      <c r="F331" s="35"/>
      <c r="G331" s="35"/>
      <c r="H331" s="3"/>
      <c r="I331" s="35"/>
      <c r="J331" s="35" t="str">
        <f>IF(OR(TRIM(E331)="", TRIM(H331)=""), "", IFERROR(IF(OR(VLOOKUP(E331&amp;"|"&amp;H331&amp;"", DB!$A:$N, 6, FALSE)="", VLOOKUP(E331&amp;"|"&amp;H331&amp;"", DB!$A:$N, 6, FALSE)="-"), "", VLOOKUP(E331&amp;"|"&amp;H331&amp;"", DB!$A:$N, 6, FALSE)), ""))</f>
        <v/>
      </c>
      <c r="K331" s="35"/>
      <c r="L331" s="35"/>
      <c r="M331" s="35"/>
      <c r="N331" s="35" t="str">
        <f t="shared" si="5"/>
        <v/>
      </c>
      <c r="O331" s="34"/>
      <c r="P331" s="34"/>
      <c r="Q331" s="34"/>
      <c r="R331" s="34"/>
      <c r="S331" s="34"/>
      <c r="T331" s="34"/>
      <c r="U331" s="34"/>
      <c r="V331" s="34"/>
    </row>
    <row r="332" spans="1:22">
      <c r="A332" s="35"/>
      <c r="B332" s="3"/>
      <c r="C332" s="35"/>
      <c r="D332" s="34"/>
      <c r="E332" s="34"/>
      <c r="F332" s="35"/>
      <c r="G332" s="35"/>
      <c r="H332" s="3"/>
      <c r="I332" s="35"/>
      <c r="J332" s="35" t="str">
        <f>IF(OR(TRIM(E332)="", TRIM(H332)=""), "", IFERROR(IF(OR(VLOOKUP(E332&amp;"|"&amp;H332&amp;"", DB!$A:$N, 6, FALSE)="", VLOOKUP(E332&amp;"|"&amp;H332&amp;"", DB!$A:$N, 6, FALSE)="-"), "", VLOOKUP(E332&amp;"|"&amp;H332&amp;"", DB!$A:$N, 6, FALSE)), ""))</f>
        <v/>
      </c>
      <c r="K332" s="35"/>
      <c r="L332" s="35"/>
      <c r="M332" s="35"/>
      <c r="N332" s="35" t="str">
        <f t="shared" si="5"/>
        <v/>
      </c>
      <c r="O332" s="34"/>
      <c r="P332" s="34"/>
      <c r="Q332" s="34"/>
      <c r="R332" s="34"/>
      <c r="S332" s="34"/>
      <c r="T332" s="34"/>
      <c r="U332" s="34"/>
      <c r="V332" s="34"/>
    </row>
    <row r="333" spans="1:22">
      <c r="A333" s="35"/>
      <c r="B333" s="3"/>
      <c r="C333" s="35"/>
      <c r="D333" s="34"/>
      <c r="E333" s="34"/>
      <c r="F333" s="35"/>
      <c r="G333" s="35"/>
      <c r="H333" s="3"/>
      <c r="I333" s="35"/>
      <c r="J333" s="35" t="str">
        <f>IF(OR(TRIM(E333)="", TRIM(H333)=""), "", IFERROR(IF(OR(VLOOKUP(E333&amp;"|"&amp;H333&amp;"", DB!$A:$N, 6, FALSE)="", VLOOKUP(E333&amp;"|"&amp;H333&amp;"", DB!$A:$N, 6, FALSE)="-"), "", VLOOKUP(E333&amp;"|"&amp;H333&amp;"", DB!$A:$N, 6, FALSE)), ""))</f>
        <v/>
      </c>
      <c r="K333" s="35"/>
      <c r="L333" s="35"/>
      <c r="M333" s="35"/>
      <c r="N333" s="35" t="str">
        <f t="shared" si="5"/>
        <v/>
      </c>
      <c r="O333" s="34"/>
      <c r="P333" s="34"/>
      <c r="Q333" s="34"/>
      <c r="R333" s="34"/>
      <c r="S333" s="34"/>
      <c r="T333" s="34"/>
      <c r="U333" s="34"/>
      <c r="V333" s="34"/>
    </row>
    <row r="334" spans="1:22">
      <c r="A334" s="35"/>
      <c r="B334" s="3"/>
      <c r="C334" s="35"/>
      <c r="D334" s="34"/>
      <c r="E334" s="34"/>
      <c r="F334" s="35"/>
      <c r="G334" s="35"/>
      <c r="H334" s="3"/>
      <c r="I334" s="35"/>
      <c r="J334" s="35" t="str">
        <f>IF(OR(TRIM(E334)="", TRIM(H334)=""), "", IFERROR(IF(OR(VLOOKUP(E334&amp;"|"&amp;H334&amp;"", DB!$A:$N, 6, FALSE)="", VLOOKUP(E334&amp;"|"&amp;H334&amp;"", DB!$A:$N, 6, FALSE)="-"), "", VLOOKUP(E334&amp;"|"&amp;H334&amp;"", DB!$A:$N, 6, FALSE)), ""))</f>
        <v/>
      </c>
      <c r="K334" s="35"/>
      <c r="L334" s="35"/>
      <c r="M334" s="35"/>
      <c r="N334" s="35" t="str">
        <f t="shared" si="5"/>
        <v/>
      </c>
      <c r="O334" s="34"/>
      <c r="P334" s="34"/>
      <c r="Q334" s="34"/>
      <c r="R334" s="34"/>
      <c r="S334" s="34"/>
      <c r="T334" s="34"/>
      <c r="U334" s="34"/>
      <c r="V334" s="34"/>
    </row>
    <row r="335" spans="1:22">
      <c r="A335" s="35"/>
      <c r="B335" s="3"/>
      <c r="C335" s="35"/>
      <c r="D335" s="34"/>
      <c r="E335" s="34"/>
      <c r="F335" s="35"/>
      <c r="G335" s="35"/>
      <c r="H335" s="3"/>
      <c r="I335" s="35"/>
      <c r="J335" s="35" t="str">
        <f>IF(OR(TRIM(E335)="", TRIM(H335)=""), "", IFERROR(IF(OR(VLOOKUP(E335&amp;"|"&amp;H335&amp;"", DB!$A:$N, 6, FALSE)="", VLOOKUP(E335&amp;"|"&amp;H335&amp;"", DB!$A:$N, 6, FALSE)="-"), "", VLOOKUP(E335&amp;"|"&amp;H335&amp;"", DB!$A:$N, 6, FALSE)), ""))</f>
        <v/>
      </c>
      <c r="K335" s="35"/>
      <c r="L335" s="35"/>
      <c r="M335" s="35"/>
      <c r="N335" s="35" t="str">
        <f t="shared" si="5"/>
        <v/>
      </c>
      <c r="O335" s="34"/>
      <c r="P335" s="34"/>
      <c r="Q335" s="34"/>
      <c r="R335" s="34"/>
      <c r="S335" s="34"/>
      <c r="T335" s="34"/>
      <c r="U335" s="34"/>
      <c r="V335" s="34"/>
    </row>
    <row r="336" spans="1:22">
      <c r="A336" s="35"/>
      <c r="B336" s="3"/>
      <c r="C336" s="35"/>
      <c r="D336" s="34"/>
      <c r="E336" s="34"/>
      <c r="F336" s="35"/>
      <c r="G336" s="35"/>
      <c r="H336" s="3"/>
      <c r="I336" s="35"/>
      <c r="J336" s="35" t="str">
        <f>IF(OR(TRIM(E336)="", TRIM(H336)=""), "", IFERROR(IF(OR(VLOOKUP(E336&amp;"|"&amp;H336&amp;"", DB!$A:$N, 6, FALSE)="", VLOOKUP(E336&amp;"|"&amp;H336&amp;"", DB!$A:$N, 6, FALSE)="-"), "", VLOOKUP(E336&amp;"|"&amp;H336&amp;"", DB!$A:$N, 6, FALSE)), ""))</f>
        <v/>
      </c>
      <c r="K336" s="35"/>
      <c r="L336" s="35"/>
      <c r="M336" s="35"/>
      <c r="N336" s="35" t="str">
        <f t="shared" si="5"/>
        <v/>
      </c>
      <c r="O336" s="34"/>
      <c r="P336" s="34"/>
      <c r="Q336" s="34"/>
      <c r="R336" s="34"/>
      <c r="S336" s="34"/>
      <c r="T336" s="34"/>
      <c r="U336" s="34"/>
      <c r="V336" s="34"/>
    </row>
    <row r="337" spans="1:22">
      <c r="A337" s="35"/>
      <c r="B337" s="3"/>
      <c r="C337" s="35"/>
      <c r="D337" s="34"/>
      <c r="E337" s="34"/>
      <c r="F337" s="35"/>
      <c r="G337" s="35"/>
      <c r="H337" s="3"/>
      <c r="I337" s="35"/>
      <c r="J337" s="35" t="str">
        <f>IF(OR(TRIM(E337)="", TRIM(H337)=""), "", IFERROR(IF(OR(VLOOKUP(E337&amp;"|"&amp;H337&amp;"", DB!$A:$N, 6, FALSE)="", VLOOKUP(E337&amp;"|"&amp;H337&amp;"", DB!$A:$N, 6, FALSE)="-"), "", VLOOKUP(E337&amp;"|"&amp;H337&amp;"", DB!$A:$N, 6, FALSE)), ""))</f>
        <v/>
      </c>
      <c r="K337" s="35"/>
      <c r="L337" s="35"/>
      <c r="M337" s="35"/>
      <c r="N337" s="35" t="str">
        <f t="shared" si="5"/>
        <v/>
      </c>
      <c r="O337" s="34"/>
      <c r="P337" s="34"/>
      <c r="Q337" s="34"/>
      <c r="R337" s="34"/>
      <c r="S337" s="34"/>
      <c r="T337" s="34"/>
      <c r="U337" s="34"/>
      <c r="V337" s="34"/>
    </row>
    <row r="338" spans="1:22">
      <c r="A338" s="35"/>
      <c r="B338" s="3"/>
      <c r="C338" s="35"/>
      <c r="D338" s="34"/>
      <c r="E338" s="34"/>
      <c r="F338" s="35"/>
      <c r="G338" s="35"/>
      <c r="H338" s="3"/>
      <c r="I338" s="35"/>
      <c r="J338" s="35" t="str">
        <f>IF(OR(TRIM(E338)="", TRIM(H338)=""), "", IFERROR(IF(OR(VLOOKUP(E338&amp;"|"&amp;H338&amp;"", DB!$A:$N, 6, FALSE)="", VLOOKUP(E338&amp;"|"&amp;H338&amp;"", DB!$A:$N, 6, FALSE)="-"), "", VLOOKUP(E338&amp;"|"&amp;H338&amp;"", DB!$A:$N, 6, FALSE)), ""))</f>
        <v/>
      </c>
      <c r="K338" s="35"/>
      <c r="L338" s="35"/>
      <c r="M338" s="35"/>
      <c r="N338" s="35" t="str">
        <f t="shared" si="5"/>
        <v/>
      </c>
      <c r="O338" s="34"/>
      <c r="P338" s="34"/>
      <c r="Q338" s="34"/>
      <c r="R338" s="34"/>
      <c r="S338" s="34"/>
      <c r="T338" s="34"/>
      <c r="U338" s="34"/>
      <c r="V338" s="34"/>
    </row>
    <row r="339" spans="1:22">
      <c r="A339" s="35"/>
      <c r="B339" s="3"/>
      <c r="C339" s="35"/>
      <c r="D339" s="34"/>
      <c r="E339" s="34"/>
      <c r="F339" s="35"/>
      <c r="G339" s="35"/>
      <c r="H339" s="3"/>
      <c r="I339" s="35"/>
      <c r="J339" s="35" t="str">
        <f>IF(OR(TRIM(E339)="", TRIM(H339)=""), "", IFERROR(IF(OR(VLOOKUP(E339&amp;"|"&amp;H339&amp;"", DB!$A:$N, 6, FALSE)="", VLOOKUP(E339&amp;"|"&amp;H339&amp;"", DB!$A:$N, 6, FALSE)="-"), "", VLOOKUP(E339&amp;"|"&amp;H339&amp;"", DB!$A:$N, 6, FALSE)), ""))</f>
        <v/>
      </c>
      <c r="K339" s="35"/>
      <c r="L339" s="35"/>
      <c r="M339" s="35"/>
      <c r="N339" s="35" t="str">
        <f t="shared" si="5"/>
        <v/>
      </c>
      <c r="O339" s="34"/>
      <c r="P339" s="34"/>
      <c r="Q339" s="34"/>
      <c r="R339" s="34"/>
      <c r="S339" s="34"/>
      <c r="T339" s="34"/>
      <c r="U339" s="34"/>
      <c r="V339" s="34"/>
    </row>
    <row r="340" spans="1:22">
      <c r="A340" s="35"/>
      <c r="B340" s="3"/>
      <c r="C340" s="35"/>
      <c r="D340" s="34"/>
      <c r="E340" s="34"/>
      <c r="F340" s="35"/>
      <c r="G340" s="35"/>
      <c r="H340" s="3"/>
      <c r="I340" s="35"/>
      <c r="J340" s="35" t="str">
        <f>IF(OR(TRIM(E340)="", TRIM(H340)=""), "", IFERROR(IF(OR(VLOOKUP(E340&amp;"|"&amp;H340&amp;"", DB!$A:$N, 6, FALSE)="", VLOOKUP(E340&amp;"|"&amp;H340&amp;"", DB!$A:$N, 6, FALSE)="-"), "", VLOOKUP(E340&amp;"|"&amp;H340&amp;"", DB!$A:$N, 6, FALSE)), ""))</f>
        <v/>
      </c>
      <c r="K340" s="35"/>
      <c r="L340" s="35"/>
      <c r="M340" s="35"/>
      <c r="N340" s="35" t="str">
        <f t="shared" si="5"/>
        <v/>
      </c>
      <c r="O340" s="34"/>
      <c r="P340" s="34"/>
      <c r="Q340" s="34"/>
      <c r="R340" s="34"/>
      <c r="S340" s="34"/>
      <c r="T340" s="34"/>
      <c r="U340" s="34"/>
      <c r="V340" s="34"/>
    </row>
    <row r="341" spans="1:22">
      <c r="A341" s="35"/>
      <c r="B341" s="3"/>
      <c r="C341" s="35"/>
      <c r="D341" s="34"/>
      <c r="E341" s="34"/>
      <c r="F341" s="35"/>
      <c r="G341" s="35"/>
      <c r="H341" s="3"/>
      <c r="I341" s="35"/>
      <c r="J341" s="35" t="str">
        <f>IF(OR(TRIM(E341)="", TRIM(H341)=""), "", IFERROR(IF(OR(VLOOKUP(E341&amp;"|"&amp;H341&amp;"", DB!$A:$N, 6, FALSE)="", VLOOKUP(E341&amp;"|"&amp;H341&amp;"", DB!$A:$N, 6, FALSE)="-"), "", VLOOKUP(E341&amp;"|"&amp;H341&amp;"", DB!$A:$N, 6, FALSE)), ""))</f>
        <v/>
      </c>
      <c r="K341" s="35"/>
      <c r="L341" s="35"/>
      <c r="M341" s="35"/>
      <c r="N341" s="35" t="str">
        <f t="shared" si="5"/>
        <v/>
      </c>
      <c r="O341" s="34"/>
      <c r="P341" s="34"/>
      <c r="Q341" s="34"/>
      <c r="R341" s="34"/>
      <c r="S341" s="34"/>
      <c r="T341" s="34"/>
      <c r="U341" s="34"/>
      <c r="V341" s="34"/>
    </row>
    <row r="342" spans="1:22">
      <c r="A342" s="35"/>
      <c r="B342" s="3"/>
      <c r="C342" s="35"/>
      <c r="D342" s="34"/>
      <c r="E342" s="34"/>
      <c r="F342" s="35"/>
      <c r="G342" s="35"/>
      <c r="H342" s="3"/>
      <c r="I342" s="35"/>
      <c r="J342" s="35" t="str">
        <f>IF(OR(TRIM(E342)="", TRIM(H342)=""), "", IFERROR(IF(OR(VLOOKUP(E342&amp;"|"&amp;H342&amp;"", DB!$A:$N, 6, FALSE)="", VLOOKUP(E342&amp;"|"&amp;H342&amp;"", DB!$A:$N, 6, FALSE)="-"), "", VLOOKUP(E342&amp;"|"&amp;H342&amp;"", DB!$A:$N, 6, FALSE)), ""))</f>
        <v/>
      </c>
      <c r="K342" s="35"/>
      <c r="L342" s="35"/>
      <c r="M342" s="35"/>
      <c r="N342" s="35" t="str">
        <f t="shared" si="5"/>
        <v/>
      </c>
      <c r="O342" s="34"/>
      <c r="P342" s="34"/>
      <c r="Q342" s="34"/>
      <c r="R342" s="34"/>
      <c r="S342" s="34"/>
      <c r="T342" s="34"/>
      <c r="U342" s="34"/>
      <c r="V342" s="34"/>
    </row>
    <row r="343" spans="1:22">
      <c r="A343" s="35"/>
      <c r="B343" s="3"/>
      <c r="C343" s="35"/>
      <c r="D343" s="34"/>
      <c r="E343" s="34"/>
      <c r="F343" s="35"/>
      <c r="G343" s="35"/>
      <c r="H343" s="3"/>
      <c r="I343" s="35"/>
      <c r="J343" s="35" t="str">
        <f>IF(OR(TRIM(E343)="", TRIM(H343)=""), "", IFERROR(IF(OR(VLOOKUP(E343&amp;"|"&amp;H343&amp;"", DB!$A:$N, 6, FALSE)="", VLOOKUP(E343&amp;"|"&amp;H343&amp;"", DB!$A:$N, 6, FALSE)="-"), "", VLOOKUP(E343&amp;"|"&amp;H343&amp;"", DB!$A:$N, 6, FALSE)), ""))</f>
        <v/>
      </c>
      <c r="K343" s="35"/>
      <c r="L343" s="35"/>
      <c r="M343" s="35"/>
      <c r="N343" s="35" t="str">
        <f t="shared" si="5"/>
        <v/>
      </c>
      <c r="O343" s="34"/>
      <c r="P343" s="34"/>
      <c r="Q343" s="34"/>
      <c r="R343" s="34"/>
      <c r="S343" s="34"/>
      <c r="T343" s="34"/>
      <c r="U343" s="34"/>
      <c r="V343" s="34"/>
    </row>
    <row r="344" spans="1:22">
      <c r="A344" s="35"/>
      <c r="B344" s="3"/>
      <c r="C344" s="35"/>
      <c r="D344" s="34"/>
      <c r="E344" s="34"/>
      <c r="F344" s="35"/>
      <c r="G344" s="35"/>
      <c r="H344" s="3"/>
      <c r="I344" s="35"/>
      <c r="J344" s="35" t="str">
        <f>IF(OR(TRIM(E344)="", TRIM(H344)=""), "", IFERROR(IF(OR(VLOOKUP(E344&amp;"|"&amp;H344&amp;"", DB!$A:$N, 6, FALSE)="", VLOOKUP(E344&amp;"|"&amp;H344&amp;"", DB!$A:$N, 6, FALSE)="-"), "", VLOOKUP(E344&amp;"|"&amp;H344&amp;"", DB!$A:$N, 6, FALSE)), ""))</f>
        <v/>
      </c>
      <c r="K344" s="35"/>
      <c r="L344" s="35"/>
      <c r="M344" s="35"/>
      <c r="N344" s="35" t="str">
        <f t="shared" si="5"/>
        <v/>
      </c>
      <c r="O344" s="34"/>
      <c r="P344" s="34"/>
      <c r="Q344" s="34"/>
      <c r="R344" s="34"/>
      <c r="S344" s="34"/>
      <c r="T344" s="34"/>
      <c r="U344" s="34"/>
      <c r="V344" s="34"/>
    </row>
    <row r="345" spans="1:22">
      <c r="A345" s="35"/>
      <c r="B345" s="3"/>
      <c r="C345" s="35"/>
      <c r="D345" s="34"/>
      <c r="E345" s="34"/>
      <c r="F345" s="35"/>
      <c r="G345" s="35"/>
      <c r="H345" s="3"/>
      <c r="I345" s="35"/>
      <c r="J345" s="35" t="str">
        <f>IF(OR(TRIM(E345)="", TRIM(H345)=""), "", IFERROR(IF(OR(VLOOKUP(E345&amp;"|"&amp;H345&amp;"", DB!$A:$N, 6, FALSE)="", VLOOKUP(E345&amp;"|"&amp;H345&amp;"", DB!$A:$N, 6, FALSE)="-"), "", VLOOKUP(E345&amp;"|"&amp;H345&amp;"", DB!$A:$N, 6, FALSE)), ""))</f>
        <v/>
      </c>
      <c r="K345" s="35"/>
      <c r="L345" s="35"/>
      <c r="M345" s="35"/>
      <c r="N345" s="35" t="str">
        <f t="shared" si="5"/>
        <v/>
      </c>
      <c r="O345" s="34"/>
      <c r="P345" s="34"/>
      <c r="Q345" s="34"/>
      <c r="R345" s="34"/>
      <c r="S345" s="34"/>
      <c r="T345" s="34"/>
      <c r="U345" s="34"/>
      <c r="V345" s="34"/>
    </row>
    <row r="346" spans="1:22">
      <c r="A346" s="35"/>
      <c r="B346" s="3"/>
      <c r="C346" s="35"/>
      <c r="D346" s="34"/>
      <c r="E346" s="34"/>
      <c r="F346" s="35"/>
      <c r="G346" s="35"/>
      <c r="H346" s="3"/>
      <c r="I346" s="35"/>
      <c r="J346" s="35" t="str">
        <f>IF(OR(TRIM(E346)="", TRIM(H346)=""), "", IFERROR(IF(OR(VLOOKUP(E346&amp;"|"&amp;H346&amp;"", DB!$A:$N, 6, FALSE)="", VLOOKUP(E346&amp;"|"&amp;H346&amp;"", DB!$A:$N, 6, FALSE)="-"), "", VLOOKUP(E346&amp;"|"&amp;H346&amp;"", DB!$A:$N, 6, FALSE)), ""))</f>
        <v/>
      </c>
      <c r="K346" s="35"/>
      <c r="L346" s="35"/>
      <c r="M346" s="35"/>
      <c r="N346" s="35" t="str">
        <f t="shared" si="5"/>
        <v/>
      </c>
      <c r="O346" s="34"/>
      <c r="P346" s="34"/>
      <c r="Q346" s="34"/>
      <c r="R346" s="34"/>
      <c r="S346" s="34"/>
      <c r="T346" s="34"/>
      <c r="U346" s="34"/>
      <c r="V346" s="34"/>
    </row>
    <row r="347" spans="1:22">
      <c r="A347" s="35"/>
      <c r="B347" s="3"/>
      <c r="C347" s="35"/>
      <c r="D347" s="34"/>
      <c r="E347" s="34"/>
      <c r="F347" s="35"/>
      <c r="G347" s="35"/>
      <c r="H347" s="3"/>
      <c r="I347" s="35"/>
      <c r="J347" s="35" t="str">
        <f>IF(OR(TRIM(E347)="", TRIM(H347)=""), "", IFERROR(IF(OR(VLOOKUP(E347&amp;"|"&amp;H347&amp;"", DB!$A:$N, 6, FALSE)="", VLOOKUP(E347&amp;"|"&amp;H347&amp;"", DB!$A:$N, 6, FALSE)="-"), "", VLOOKUP(E347&amp;"|"&amp;H347&amp;"", DB!$A:$N, 6, FALSE)), ""))</f>
        <v/>
      </c>
      <c r="K347" s="35"/>
      <c r="L347" s="35"/>
      <c r="M347" s="35"/>
      <c r="N347" s="35" t="str">
        <f t="shared" si="5"/>
        <v/>
      </c>
      <c r="O347" s="34"/>
      <c r="P347" s="34"/>
      <c r="Q347" s="34"/>
      <c r="R347" s="34"/>
      <c r="S347" s="34"/>
      <c r="T347" s="34"/>
      <c r="U347" s="34"/>
      <c r="V347" s="34"/>
    </row>
    <row r="348" spans="1:22">
      <c r="A348" s="35"/>
      <c r="B348" s="3"/>
      <c r="C348" s="35"/>
      <c r="D348" s="34"/>
      <c r="E348" s="34"/>
      <c r="F348" s="35"/>
      <c r="G348" s="35"/>
      <c r="H348" s="3"/>
      <c r="I348" s="35"/>
      <c r="J348" s="35" t="str">
        <f>IF(OR(TRIM(E348)="", TRIM(H348)=""), "", IFERROR(IF(OR(VLOOKUP(E348&amp;"|"&amp;H348&amp;"", DB!$A:$N, 6, FALSE)="", VLOOKUP(E348&amp;"|"&amp;H348&amp;"", DB!$A:$N, 6, FALSE)="-"), "", VLOOKUP(E348&amp;"|"&amp;H348&amp;"", DB!$A:$N, 6, FALSE)), ""))</f>
        <v/>
      </c>
      <c r="K348" s="35"/>
      <c r="L348" s="35"/>
      <c r="M348" s="35"/>
      <c r="N348" s="35" t="str">
        <f t="shared" si="5"/>
        <v/>
      </c>
      <c r="O348" s="34"/>
      <c r="P348" s="34"/>
      <c r="Q348" s="34"/>
      <c r="R348" s="34"/>
      <c r="S348" s="34"/>
      <c r="T348" s="34"/>
      <c r="U348" s="34"/>
      <c r="V348" s="34"/>
    </row>
    <row r="349" spans="1:22">
      <c r="A349" s="35"/>
      <c r="B349" s="3"/>
      <c r="C349" s="35"/>
      <c r="D349" s="34"/>
      <c r="E349" s="34"/>
      <c r="F349" s="35"/>
      <c r="G349" s="35"/>
      <c r="H349" s="3"/>
      <c r="I349" s="35"/>
      <c r="J349" s="35" t="str">
        <f>IF(OR(TRIM(E349)="", TRIM(H349)=""), "", IFERROR(IF(OR(VLOOKUP(E349&amp;"|"&amp;H349&amp;"", DB!$A:$N, 6, FALSE)="", VLOOKUP(E349&amp;"|"&amp;H349&amp;"", DB!$A:$N, 6, FALSE)="-"), "", VLOOKUP(E349&amp;"|"&amp;H349&amp;"", DB!$A:$N, 6, FALSE)), ""))</f>
        <v/>
      </c>
      <c r="K349" s="35"/>
      <c r="L349" s="35"/>
      <c r="M349" s="35"/>
      <c r="N349" s="35" t="str">
        <f t="shared" si="5"/>
        <v/>
      </c>
      <c r="O349" s="34"/>
      <c r="P349" s="34"/>
      <c r="Q349" s="34"/>
      <c r="R349" s="34"/>
      <c r="S349" s="34"/>
      <c r="T349" s="34"/>
      <c r="U349" s="34"/>
      <c r="V349" s="34"/>
    </row>
    <row r="350" spans="1:22">
      <c r="A350" s="35"/>
      <c r="B350" s="3"/>
      <c r="C350" s="35"/>
      <c r="D350" s="34"/>
      <c r="E350" s="34"/>
      <c r="F350" s="35"/>
      <c r="G350" s="35"/>
      <c r="H350" s="3"/>
      <c r="I350" s="35"/>
      <c r="J350" s="35" t="str">
        <f>IF(OR(TRIM(E350)="", TRIM(H350)=""), "", IFERROR(IF(OR(VLOOKUP(E350&amp;"|"&amp;H350&amp;"", DB!$A:$N, 6, FALSE)="", VLOOKUP(E350&amp;"|"&amp;H350&amp;"", DB!$A:$N, 6, FALSE)="-"), "", VLOOKUP(E350&amp;"|"&amp;H350&amp;"", DB!$A:$N, 6, FALSE)), ""))</f>
        <v/>
      </c>
      <c r="K350" s="35"/>
      <c r="L350" s="35"/>
      <c r="M350" s="35"/>
      <c r="N350" s="35" t="str">
        <f t="shared" si="5"/>
        <v/>
      </c>
      <c r="O350" s="34"/>
      <c r="P350" s="34"/>
      <c r="Q350" s="34"/>
      <c r="R350" s="34"/>
      <c r="S350" s="34"/>
      <c r="T350" s="34"/>
      <c r="U350" s="34"/>
      <c r="V350" s="34"/>
    </row>
    <row r="351" spans="1:22">
      <c r="A351" s="35"/>
      <c r="B351" s="3"/>
      <c r="C351" s="35"/>
      <c r="D351" s="34"/>
      <c r="E351" s="34"/>
      <c r="F351" s="35"/>
      <c r="G351" s="35"/>
      <c r="H351" s="3"/>
      <c r="I351" s="35"/>
      <c r="J351" s="35" t="str">
        <f>IF(OR(TRIM(E351)="", TRIM(H351)=""), "", IFERROR(IF(OR(VLOOKUP(E351&amp;"|"&amp;H351&amp;"", DB!$A:$N, 6, FALSE)="", VLOOKUP(E351&amp;"|"&amp;H351&amp;"", DB!$A:$N, 6, FALSE)="-"), "", VLOOKUP(E351&amp;"|"&amp;H351&amp;"", DB!$A:$N, 6, FALSE)), ""))</f>
        <v/>
      </c>
      <c r="K351" s="35"/>
      <c r="L351" s="35"/>
      <c r="M351" s="35"/>
      <c r="N351" s="35" t="str">
        <f t="shared" si="5"/>
        <v/>
      </c>
      <c r="O351" s="34"/>
      <c r="P351" s="34"/>
      <c r="Q351" s="34"/>
      <c r="R351" s="34"/>
      <c r="S351" s="34"/>
      <c r="T351" s="34"/>
      <c r="U351" s="34"/>
      <c r="V351" s="34"/>
    </row>
    <row r="352" spans="1:22">
      <c r="A352" s="35"/>
      <c r="B352" s="3"/>
      <c r="C352" s="35"/>
      <c r="D352" s="34"/>
      <c r="E352" s="34"/>
      <c r="F352" s="35"/>
      <c r="G352" s="35"/>
      <c r="H352" s="3"/>
      <c r="I352" s="35"/>
      <c r="J352" s="35" t="str">
        <f>IF(OR(TRIM(E352)="", TRIM(H352)=""), "", IFERROR(IF(OR(VLOOKUP(E352&amp;"|"&amp;H352&amp;"", DB!$A:$N, 6, FALSE)="", VLOOKUP(E352&amp;"|"&amp;H352&amp;"", DB!$A:$N, 6, FALSE)="-"), "", VLOOKUP(E352&amp;"|"&amp;H352&amp;"", DB!$A:$N, 6, FALSE)), ""))</f>
        <v/>
      </c>
      <c r="K352" s="35"/>
      <c r="L352" s="35"/>
      <c r="M352" s="35"/>
      <c r="N352" s="35" t="str">
        <f t="shared" si="5"/>
        <v/>
      </c>
      <c r="O352" s="34"/>
      <c r="P352" s="34"/>
      <c r="Q352" s="34"/>
      <c r="R352" s="34"/>
      <c r="S352" s="34"/>
      <c r="T352" s="34"/>
      <c r="U352" s="34"/>
      <c r="V352" s="34"/>
    </row>
    <row r="353" spans="1:22">
      <c r="A353" s="35"/>
      <c r="B353" s="3"/>
      <c r="C353" s="35"/>
      <c r="D353" s="34"/>
      <c r="E353" s="34"/>
      <c r="F353" s="35"/>
      <c r="G353" s="35"/>
      <c r="H353" s="3"/>
      <c r="I353" s="35"/>
      <c r="J353" s="35" t="str">
        <f>IF(OR(TRIM(E353)="", TRIM(H353)=""), "", IFERROR(IF(OR(VLOOKUP(E353&amp;"|"&amp;H353&amp;"", DB!$A:$N, 6, FALSE)="", VLOOKUP(E353&amp;"|"&amp;H353&amp;"", DB!$A:$N, 6, FALSE)="-"), "", VLOOKUP(E353&amp;"|"&amp;H353&amp;"", DB!$A:$N, 6, FALSE)), ""))</f>
        <v/>
      </c>
      <c r="K353" s="35"/>
      <c r="L353" s="35"/>
      <c r="M353" s="35"/>
      <c r="N353" s="35" t="str">
        <f t="shared" si="5"/>
        <v/>
      </c>
      <c r="O353" s="34"/>
      <c r="P353" s="34"/>
      <c r="Q353" s="34"/>
      <c r="R353" s="34"/>
      <c r="S353" s="34"/>
      <c r="T353" s="34"/>
      <c r="U353" s="34"/>
      <c r="V353" s="34"/>
    </row>
    <row r="354" spans="1:22">
      <c r="A354" s="35"/>
      <c r="B354" s="3"/>
      <c r="C354" s="35"/>
      <c r="D354" s="34"/>
      <c r="E354" s="34"/>
      <c r="F354" s="35"/>
      <c r="G354" s="35"/>
      <c r="H354" s="3"/>
      <c r="I354" s="35"/>
      <c r="J354" s="35" t="str">
        <f>IF(OR(TRIM(E354)="", TRIM(H354)=""), "", IFERROR(IF(OR(VLOOKUP(E354&amp;"|"&amp;H354&amp;"", DB!$A:$N, 6, FALSE)="", VLOOKUP(E354&amp;"|"&amp;H354&amp;"", DB!$A:$N, 6, FALSE)="-"), "", VLOOKUP(E354&amp;"|"&amp;H354&amp;"", DB!$A:$N, 6, FALSE)), ""))</f>
        <v/>
      </c>
      <c r="K354" s="35"/>
      <c r="L354" s="35"/>
      <c r="M354" s="35"/>
      <c r="N354" s="35" t="str">
        <f t="shared" si="5"/>
        <v/>
      </c>
      <c r="O354" s="34"/>
      <c r="P354" s="34"/>
      <c r="Q354" s="34"/>
      <c r="R354" s="34"/>
      <c r="S354" s="34"/>
      <c r="T354" s="34"/>
      <c r="U354" s="34"/>
      <c r="V354" s="34"/>
    </row>
    <row r="355" spans="1:22">
      <c r="A355" s="35"/>
      <c r="B355" s="3"/>
      <c r="C355" s="35"/>
      <c r="D355" s="34"/>
      <c r="E355" s="34"/>
      <c r="F355" s="35"/>
      <c r="G355" s="35"/>
      <c r="H355" s="3"/>
      <c r="I355" s="35"/>
      <c r="J355" s="35" t="str">
        <f>IF(OR(TRIM(E355)="", TRIM(H355)=""), "", IFERROR(IF(OR(VLOOKUP(E355&amp;"|"&amp;H355&amp;"", DB!$A:$N, 6, FALSE)="", VLOOKUP(E355&amp;"|"&amp;H355&amp;"", DB!$A:$N, 6, FALSE)="-"), "", VLOOKUP(E355&amp;"|"&amp;H355&amp;"", DB!$A:$N, 6, FALSE)), ""))</f>
        <v/>
      </c>
      <c r="K355" s="35"/>
      <c r="L355" s="35"/>
      <c r="M355" s="35"/>
      <c r="N355" s="35" t="str">
        <f t="shared" si="5"/>
        <v/>
      </c>
      <c r="O355" s="34"/>
      <c r="P355" s="34"/>
      <c r="Q355" s="34"/>
      <c r="R355" s="34"/>
      <c r="S355" s="34"/>
      <c r="T355" s="34"/>
      <c r="U355" s="34"/>
      <c r="V355" s="34"/>
    </row>
    <row r="356" spans="1:22">
      <c r="A356" s="35"/>
      <c r="B356" s="3"/>
      <c r="C356" s="35"/>
      <c r="D356" s="34"/>
      <c r="E356" s="34"/>
      <c r="F356" s="35"/>
      <c r="G356" s="35"/>
      <c r="H356" s="3"/>
      <c r="I356" s="35"/>
      <c r="J356" s="35" t="str">
        <f>IF(OR(TRIM(E356)="", TRIM(H356)=""), "", IFERROR(IF(OR(VLOOKUP(E356&amp;"|"&amp;H356&amp;"", DB!$A:$N, 6, FALSE)="", VLOOKUP(E356&amp;"|"&amp;H356&amp;"", DB!$A:$N, 6, FALSE)="-"), "", VLOOKUP(E356&amp;"|"&amp;H356&amp;"", DB!$A:$N, 6, FALSE)), ""))</f>
        <v/>
      </c>
      <c r="K356" s="35"/>
      <c r="L356" s="35"/>
      <c r="M356" s="35"/>
      <c r="N356" s="35" t="str">
        <f t="shared" si="5"/>
        <v/>
      </c>
      <c r="O356" s="34"/>
      <c r="P356" s="34"/>
      <c r="Q356" s="34"/>
      <c r="R356" s="34"/>
      <c r="S356" s="34"/>
      <c r="T356" s="34"/>
      <c r="U356" s="34"/>
      <c r="V356" s="34"/>
    </row>
    <row r="357" spans="1:22">
      <c r="A357" s="35"/>
      <c r="B357" s="3"/>
      <c r="C357" s="35"/>
      <c r="D357" s="34"/>
      <c r="E357" s="34"/>
      <c r="F357" s="35"/>
      <c r="G357" s="35"/>
      <c r="H357" s="3"/>
      <c r="I357" s="35"/>
      <c r="J357" s="35" t="str">
        <f>IF(OR(TRIM(E357)="", TRIM(H357)=""), "", IFERROR(IF(OR(VLOOKUP(E357&amp;"|"&amp;H357&amp;"", DB!$A:$N, 6, FALSE)="", VLOOKUP(E357&amp;"|"&amp;H357&amp;"", DB!$A:$N, 6, FALSE)="-"), "", VLOOKUP(E357&amp;"|"&amp;H357&amp;"", DB!$A:$N, 6, FALSE)), ""))</f>
        <v/>
      </c>
      <c r="K357" s="35"/>
      <c r="L357" s="35"/>
      <c r="M357" s="35"/>
      <c r="N357" s="35" t="str">
        <f t="shared" si="5"/>
        <v/>
      </c>
      <c r="O357" s="34"/>
      <c r="P357" s="34"/>
      <c r="Q357" s="34"/>
      <c r="R357" s="34"/>
      <c r="S357" s="34"/>
      <c r="T357" s="34"/>
      <c r="U357" s="34"/>
      <c r="V357" s="34"/>
    </row>
    <row r="358" spans="1:22">
      <c r="A358" s="35"/>
      <c r="B358" s="3"/>
      <c r="C358" s="35"/>
      <c r="D358" s="34"/>
      <c r="E358" s="34"/>
      <c r="F358" s="35"/>
      <c r="G358" s="35"/>
      <c r="H358" s="3"/>
      <c r="I358" s="35"/>
      <c r="J358" s="35" t="str">
        <f>IF(OR(TRIM(E358)="", TRIM(H358)=""), "", IFERROR(IF(OR(VLOOKUP(E358&amp;"|"&amp;H358&amp;"", DB!$A:$N, 6, FALSE)="", VLOOKUP(E358&amp;"|"&amp;H358&amp;"", DB!$A:$N, 6, FALSE)="-"), "", VLOOKUP(E358&amp;"|"&amp;H358&amp;"", DB!$A:$N, 6, FALSE)), ""))</f>
        <v/>
      </c>
      <c r="K358" s="35"/>
      <c r="L358" s="35"/>
      <c r="M358" s="35"/>
      <c r="N358" s="35" t="str">
        <f t="shared" si="5"/>
        <v/>
      </c>
      <c r="O358" s="34"/>
      <c r="P358" s="34"/>
      <c r="Q358" s="34"/>
      <c r="R358" s="34"/>
      <c r="S358" s="34"/>
      <c r="T358" s="34"/>
      <c r="U358" s="34"/>
      <c r="V358" s="34"/>
    </row>
    <row r="359" spans="1:22">
      <c r="A359" s="35"/>
      <c r="B359" s="3"/>
      <c r="C359" s="35"/>
      <c r="D359" s="34"/>
      <c r="E359" s="34"/>
      <c r="F359" s="35"/>
      <c r="G359" s="35"/>
      <c r="H359" s="3"/>
      <c r="I359" s="35"/>
      <c r="J359" s="35" t="str">
        <f>IF(OR(TRIM(E359)="", TRIM(H359)=""), "", IFERROR(IF(OR(VLOOKUP(E359&amp;"|"&amp;H359&amp;"", DB!$A:$N, 6, FALSE)="", VLOOKUP(E359&amp;"|"&amp;H359&amp;"", DB!$A:$N, 6, FALSE)="-"), "", VLOOKUP(E359&amp;"|"&amp;H359&amp;"", DB!$A:$N, 6, FALSE)), ""))</f>
        <v/>
      </c>
      <c r="K359" s="35"/>
      <c r="L359" s="35"/>
      <c r="M359" s="35"/>
      <c r="N359" s="35" t="str">
        <f t="shared" si="5"/>
        <v/>
      </c>
      <c r="O359" s="34"/>
      <c r="P359" s="34"/>
      <c r="Q359" s="34"/>
      <c r="R359" s="34"/>
      <c r="S359" s="34"/>
      <c r="T359" s="34"/>
      <c r="U359" s="34"/>
      <c r="V359" s="34"/>
    </row>
    <row r="360" spans="1:22">
      <c r="A360" s="35"/>
      <c r="B360" s="3"/>
      <c r="C360" s="35"/>
      <c r="D360" s="34"/>
      <c r="E360" s="34"/>
      <c r="F360" s="35"/>
      <c r="G360" s="35"/>
      <c r="H360" s="3"/>
      <c r="I360" s="35"/>
      <c r="J360" s="35" t="str">
        <f>IF(OR(TRIM(E360)="", TRIM(H360)=""), "", IFERROR(IF(OR(VLOOKUP(E360&amp;"|"&amp;H360&amp;"", DB!$A:$N, 6, FALSE)="", VLOOKUP(E360&amp;"|"&amp;H360&amp;"", DB!$A:$N, 6, FALSE)="-"), "", VLOOKUP(E360&amp;"|"&amp;H360&amp;"", DB!$A:$N, 6, FALSE)), ""))</f>
        <v/>
      </c>
      <c r="K360" s="35"/>
      <c r="L360" s="35"/>
      <c r="M360" s="35"/>
      <c r="N360" s="35" t="str">
        <f t="shared" si="5"/>
        <v/>
      </c>
      <c r="O360" s="34"/>
      <c r="P360" s="34"/>
      <c r="Q360" s="34"/>
      <c r="R360" s="34"/>
      <c r="S360" s="34"/>
      <c r="T360" s="34"/>
      <c r="U360" s="34"/>
      <c r="V360" s="34"/>
    </row>
    <row r="361" spans="1:22">
      <c r="A361" s="35"/>
      <c r="B361" s="3"/>
      <c r="C361" s="35"/>
      <c r="D361" s="34"/>
      <c r="E361" s="34"/>
      <c r="F361" s="35"/>
      <c r="G361" s="35"/>
      <c r="H361" s="3"/>
      <c r="I361" s="35"/>
      <c r="J361" s="35" t="str">
        <f>IF(OR(TRIM(E361)="", TRIM(H361)=""), "", IFERROR(IF(OR(VLOOKUP(E361&amp;"|"&amp;H361&amp;"", DB!$A:$N, 6, FALSE)="", VLOOKUP(E361&amp;"|"&amp;H361&amp;"", DB!$A:$N, 6, FALSE)="-"), "", VLOOKUP(E361&amp;"|"&amp;H361&amp;"", DB!$A:$N, 6, FALSE)), ""))</f>
        <v/>
      </c>
      <c r="K361" s="35"/>
      <c r="L361" s="35"/>
      <c r="M361" s="35"/>
      <c r="N361" s="35" t="str">
        <f t="shared" si="5"/>
        <v/>
      </c>
      <c r="O361" s="34"/>
      <c r="P361" s="34"/>
      <c r="Q361" s="34"/>
      <c r="R361" s="34"/>
      <c r="S361" s="34"/>
      <c r="T361" s="34"/>
      <c r="U361" s="34"/>
      <c r="V361" s="34"/>
    </row>
    <row r="362" spans="1:22">
      <c r="A362" s="35"/>
      <c r="B362" s="3"/>
      <c r="C362" s="35"/>
      <c r="D362" s="34"/>
      <c r="E362" s="34"/>
      <c r="F362" s="35"/>
      <c r="G362" s="35"/>
      <c r="H362" s="3"/>
      <c r="I362" s="35"/>
      <c r="J362" s="35" t="str">
        <f>IF(OR(TRIM(E362)="", TRIM(H362)=""), "", IFERROR(IF(OR(VLOOKUP(E362&amp;"|"&amp;H362&amp;"", DB!$A:$N, 6, FALSE)="", VLOOKUP(E362&amp;"|"&amp;H362&amp;"", DB!$A:$N, 6, FALSE)="-"), "", VLOOKUP(E362&amp;"|"&amp;H362&amp;"", DB!$A:$N, 6, FALSE)), ""))</f>
        <v/>
      </c>
      <c r="K362" s="35"/>
      <c r="L362" s="35"/>
      <c r="M362" s="35"/>
      <c r="N362" s="35" t="str">
        <f t="shared" si="5"/>
        <v/>
      </c>
      <c r="O362" s="34"/>
      <c r="P362" s="34"/>
      <c r="Q362" s="34"/>
      <c r="R362" s="34"/>
      <c r="S362" s="34"/>
      <c r="T362" s="34"/>
      <c r="U362" s="34"/>
      <c r="V362" s="34"/>
    </row>
    <row r="363" spans="1:22">
      <c r="A363" s="35"/>
      <c r="B363" s="3"/>
      <c r="C363" s="35"/>
      <c r="D363" s="34"/>
      <c r="E363" s="34"/>
      <c r="F363" s="35"/>
      <c r="G363" s="35"/>
      <c r="H363" s="3"/>
      <c r="I363" s="35"/>
      <c r="J363" s="35" t="str">
        <f>IF(OR(TRIM(E363)="", TRIM(H363)=""), "", IFERROR(IF(OR(VLOOKUP(E363&amp;"|"&amp;H363&amp;"", DB!$A:$N, 6, FALSE)="", VLOOKUP(E363&amp;"|"&amp;H363&amp;"", DB!$A:$N, 6, FALSE)="-"), "", VLOOKUP(E363&amp;"|"&amp;H363&amp;"", DB!$A:$N, 6, FALSE)), ""))</f>
        <v/>
      </c>
      <c r="K363" s="35"/>
      <c r="L363" s="35"/>
      <c r="M363" s="35"/>
      <c r="N363" s="35" t="str">
        <f t="shared" si="5"/>
        <v/>
      </c>
      <c r="O363" s="34"/>
      <c r="P363" s="34"/>
      <c r="Q363" s="34"/>
      <c r="R363" s="34"/>
      <c r="S363" s="34"/>
      <c r="T363" s="34"/>
      <c r="U363" s="34"/>
      <c r="V363" s="34"/>
    </row>
    <row r="364" spans="1:22">
      <c r="A364" s="35"/>
      <c r="B364" s="3"/>
      <c r="C364" s="35"/>
      <c r="D364" s="34"/>
      <c r="E364" s="34"/>
      <c r="F364" s="35"/>
      <c r="G364" s="35"/>
      <c r="H364" s="3"/>
      <c r="I364" s="35"/>
      <c r="J364" s="35" t="str">
        <f>IF(OR(TRIM(E364)="", TRIM(H364)=""), "", IFERROR(IF(OR(VLOOKUP(E364&amp;"|"&amp;H364&amp;"", DB!$A:$N, 6, FALSE)="", VLOOKUP(E364&amp;"|"&amp;H364&amp;"", DB!$A:$N, 6, FALSE)="-"), "", VLOOKUP(E364&amp;"|"&amp;H364&amp;"", DB!$A:$N, 6, FALSE)), ""))</f>
        <v/>
      </c>
      <c r="K364" s="35"/>
      <c r="L364" s="35"/>
      <c r="M364" s="35"/>
      <c r="N364" s="35" t="str">
        <f t="shared" si="5"/>
        <v/>
      </c>
      <c r="O364" s="34"/>
      <c r="P364" s="34"/>
      <c r="Q364" s="34"/>
      <c r="R364" s="34"/>
      <c r="S364" s="34"/>
      <c r="T364" s="34"/>
      <c r="U364" s="34"/>
      <c r="V364" s="34"/>
    </row>
    <row r="365" spans="1:22">
      <c r="A365" s="35"/>
      <c r="B365" s="3"/>
      <c r="C365" s="35"/>
      <c r="D365" s="34"/>
      <c r="E365" s="34"/>
      <c r="F365" s="35"/>
      <c r="G365" s="35"/>
      <c r="H365" s="3"/>
      <c r="I365" s="35"/>
      <c r="J365" s="35" t="str">
        <f>IF(OR(TRIM(E365)="", TRIM(H365)=""), "", IFERROR(IF(OR(VLOOKUP(E365&amp;"|"&amp;H365&amp;"", DB!$A:$N, 6, FALSE)="", VLOOKUP(E365&amp;"|"&amp;H365&amp;"", DB!$A:$N, 6, FALSE)="-"), "", VLOOKUP(E365&amp;"|"&amp;H365&amp;"", DB!$A:$N, 6, FALSE)), ""))</f>
        <v/>
      </c>
      <c r="K365" s="35"/>
      <c r="L365" s="35"/>
      <c r="M365" s="35"/>
      <c r="N365" s="35" t="str">
        <f t="shared" si="5"/>
        <v/>
      </c>
      <c r="O365" s="34"/>
      <c r="P365" s="34"/>
      <c r="Q365" s="34"/>
      <c r="R365" s="34"/>
      <c r="S365" s="34"/>
      <c r="T365" s="34"/>
      <c r="U365" s="34"/>
      <c r="V365" s="34"/>
    </row>
    <row r="366" spans="1:22">
      <c r="A366" s="35"/>
      <c r="B366" s="3"/>
      <c r="C366" s="35"/>
      <c r="D366" s="34"/>
      <c r="E366" s="34"/>
      <c r="F366" s="35"/>
      <c r="G366" s="35"/>
      <c r="H366" s="3"/>
      <c r="I366" s="35"/>
      <c r="J366" s="35" t="str">
        <f>IF(OR(TRIM(E366)="", TRIM(H366)=""), "", IFERROR(IF(OR(VLOOKUP(E366&amp;"|"&amp;H366&amp;"", DB!$A:$N, 6, FALSE)="", VLOOKUP(E366&amp;"|"&amp;H366&amp;"", DB!$A:$N, 6, FALSE)="-"), "", VLOOKUP(E366&amp;"|"&amp;H366&amp;"", DB!$A:$N, 6, FALSE)), ""))</f>
        <v/>
      </c>
      <c r="K366" s="35"/>
      <c r="L366" s="35"/>
      <c r="M366" s="35"/>
      <c r="N366" s="35" t="str">
        <f t="shared" si="5"/>
        <v/>
      </c>
      <c r="O366" s="34"/>
      <c r="P366" s="34"/>
      <c r="Q366" s="34"/>
      <c r="R366" s="34"/>
      <c r="S366" s="34"/>
      <c r="T366" s="34"/>
      <c r="U366" s="34"/>
      <c r="V366" s="34"/>
    </row>
    <row r="367" spans="1:22">
      <c r="A367" s="35"/>
      <c r="B367" s="3"/>
      <c r="C367" s="35"/>
      <c r="D367" s="34"/>
      <c r="E367" s="34"/>
      <c r="F367" s="35"/>
      <c r="G367" s="35"/>
      <c r="H367" s="3"/>
      <c r="I367" s="35"/>
      <c r="J367" s="35" t="str">
        <f>IF(OR(TRIM(E367)="", TRIM(H367)=""), "", IFERROR(IF(OR(VLOOKUP(E367&amp;"|"&amp;H367&amp;"", DB!$A:$N, 6, FALSE)="", VLOOKUP(E367&amp;"|"&amp;H367&amp;"", DB!$A:$N, 6, FALSE)="-"), "", VLOOKUP(E367&amp;"|"&amp;H367&amp;"", DB!$A:$N, 6, FALSE)), ""))</f>
        <v/>
      </c>
      <c r="K367" s="35"/>
      <c r="L367" s="35"/>
      <c r="M367" s="35"/>
      <c r="N367" s="35" t="str">
        <f t="shared" si="5"/>
        <v/>
      </c>
      <c r="O367" s="34"/>
      <c r="P367" s="34"/>
      <c r="Q367" s="34"/>
      <c r="R367" s="34"/>
      <c r="S367" s="34"/>
      <c r="T367" s="34"/>
      <c r="U367" s="34"/>
      <c r="V367" s="34"/>
    </row>
    <row r="368" spans="1:22">
      <c r="A368" s="35"/>
      <c r="B368" s="3"/>
      <c r="C368" s="35"/>
      <c r="D368" s="34"/>
      <c r="E368" s="34"/>
      <c r="F368" s="35"/>
      <c r="G368" s="35"/>
      <c r="H368" s="3"/>
      <c r="I368" s="35"/>
      <c r="J368" s="35" t="str">
        <f>IF(OR(TRIM(E368)="", TRIM(H368)=""), "", IFERROR(IF(OR(VLOOKUP(E368&amp;"|"&amp;H368&amp;"", DB!$A:$N, 6, FALSE)="", VLOOKUP(E368&amp;"|"&amp;H368&amp;"", DB!$A:$N, 6, FALSE)="-"), "", VLOOKUP(E368&amp;"|"&amp;H368&amp;"", DB!$A:$N, 6, FALSE)), ""))</f>
        <v/>
      </c>
      <c r="K368" s="35"/>
      <c r="L368" s="35"/>
      <c r="M368" s="35"/>
      <c r="N368" s="35" t="str">
        <f t="shared" si="5"/>
        <v/>
      </c>
      <c r="O368" s="34"/>
      <c r="P368" s="34"/>
      <c r="Q368" s="34"/>
      <c r="R368" s="34"/>
      <c r="S368" s="34"/>
      <c r="T368" s="34"/>
      <c r="U368" s="34"/>
      <c r="V368" s="34"/>
    </row>
    <row r="369" spans="1:22">
      <c r="A369" s="35"/>
      <c r="B369" s="3"/>
      <c r="C369" s="35"/>
      <c r="D369" s="34"/>
      <c r="E369" s="34"/>
      <c r="F369" s="35"/>
      <c r="G369" s="35"/>
      <c r="H369" s="3"/>
      <c r="I369" s="35"/>
      <c r="J369" s="35" t="str">
        <f>IF(OR(TRIM(E369)="", TRIM(H369)=""), "", IFERROR(IF(OR(VLOOKUP(E369&amp;"|"&amp;H369&amp;"", DB!$A:$N, 6, FALSE)="", VLOOKUP(E369&amp;"|"&amp;H369&amp;"", DB!$A:$N, 6, FALSE)="-"), "", VLOOKUP(E369&amp;"|"&amp;H369&amp;"", DB!$A:$N, 6, FALSE)), ""))</f>
        <v/>
      </c>
      <c r="K369" s="35"/>
      <c r="L369" s="35"/>
      <c r="M369" s="35"/>
      <c r="N369" s="35" t="str">
        <f t="shared" si="5"/>
        <v/>
      </c>
      <c r="O369" s="34"/>
      <c r="P369" s="34"/>
      <c r="Q369" s="34"/>
      <c r="R369" s="34"/>
      <c r="S369" s="34"/>
      <c r="T369" s="34"/>
      <c r="U369" s="34"/>
      <c r="V369" s="34"/>
    </row>
    <row r="370" spans="1:22">
      <c r="A370" s="35"/>
      <c r="B370" s="3"/>
      <c r="C370" s="35"/>
      <c r="D370" s="34"/>
      <c r="E370" s="34"/>
      <c r="F370" s="35"/>
      <c r="G370" s="35"/>
      <c r="H370" s="3"/>
      <c r="I370" s="35"/>
      <c r="J370" s="35" t="str">
        <f>IF(OR(TRIM(E370)="", TRIM(H370)=""), "", IFERROR(IF(OR(VLOOKUP(E370&amp;"|"&amp;H370&amp;"", DB!$A:$N, 6, FALSE)="", VLOOKUP(E370&amp;"|"&amp;H370&amp;"", DB!$A:$N, 6, FALSE)="-"), "", VLOOKUP(E370&amp;"|"&amp;H370&amp;"", DB!$A:$N, 6, FALSE)), ""))</f>
        <v/>
      </c>
      <c r="K370" s="35"/>
      <c r="L370" s="35"/>
      <c r="M370" s="35"/>
      <c r="N370" s="35" t="str">
        <f t="shared" si="5"/>
        <v/>
      </c>
      <c r="O370" s="34"/>
      <c r="P370" s="34"/>
      <c r="Q370" s="34"/>
      <c r="R370" s="34"/>
      <c r="S370" s="34"/>
      <c r="T370" s="34"/>
      <c r="U370" s="34"/>
      <c r="V370" s="34"/>
    </row>
    <row r="371" spans="1:22">
      <c r="A371" s="35"/>
      <c r="B371" s="3"/>
      <c r="C371" s="35"/>
      <c r="D371" s="34"/>
      <c r="E371" s="34"/>
      <c r="F371" s="35"/>
      <c r="G371" s="35"/>
      <c r="H371" s="3"/>
      <c r="I371" s="35"/>
      <c r="J371" s="35" t="str">
        <f>IF(OR(TRIM(E371)="", TRIM(H371)=""), "", IFERROR(IF(OR(VLOOKUP(E371&amp;"|"&amp;H371&amp;"", DB!$A:$N, 6, FALSE)="", VLOOKUP(E371&amp;"|"&amp;H371&amp;"", DB!$A:$N, 6, FALSE)="-"), "", VLOOKUP(E371&amp;"|"&amp;H371&amp;"", DB!$A:$N, 6, FALSE)), ""))</f>
        <v/>
      </c>
      <c r="K371" s="35"/>
      <c r="L371" s="35"/>
      <c r="M371" s="35"/>
      <c r="N371" s="35" t="str">
        <f t="shared" si="5"/>
        <v/>
      </c>
      <c r="O371" s="34"/>
      <c r="P371" s="34"/>
      <c r="Q371" s="34"/>
      <c r="R371" s="34"/>
      <c r="S371" s="34"/>
      <c r="T371" s="34"/>
      <c r="U371" s="34"/>
      <c r="V371" s="34"/>
    </row>
    <row r="372" spans="1:22">
      <c r="A372" s="35"/>
      <c r="B372" s="3"/>
      <c r="C372" s="35"/>
      <c r="D372" s="34"/>
      <c r="E372" s="34"/>
      <c r="F372" s="35"/>
      <c r="G372" s="35"/>
      <c r="H372" s="3"/>
      <c r="I372" s="35"/>
      <c r="J372" s="35" t="str">
        <f>IF(OR(TRIM(E372)="", TRIM(H372)=""), "", IFERROR(IF(OR(VLOOKUP(E372&amp;"|"&amp;H372&amp;"", DB!$A:$N, 6, FALSE)="", VLOOKUP(E372&amp;"|"&amp;H372&amp;"", DB!$A:$N, 6, FALSE)="-"), "", VLOOKUP(E372&amp;"|"&amp;H372&amp;"", DB!$A:$N, 6, FALSE)), ""))</f>
        <v/>
      </c>
      <c r="K372" s="35"/>
      <c r="L372" s="35"/>
      <c r="M372" s="35"/>
      <c r="N372" s="35" t="str">
        <f t="shared" si="5"/>
        <v/>
      </c>
      <c r="O372" s="34"/>
      <c r="P372" s="34"/>
      <c r="Q372" s="34"/>
      <c r="R372" s="34"/>
      <c r="S372" s="34"/>
      <c r="T372" s="34"/>
      <c r="U372" s="34"/>
      <c r="V372" s="34"/>
    </row>
    <row r="373" spans="1:22">
      <c r="A373" s="35"/>
      <c r="B373" s="3"/>
      <c r="C373" s="35"/>
      <c r="D373" s="34"/>
      <c r="E373" s="34"/>
      <c r="F373" s="35"/>
      <c r="G373" s="35"/>
      <c r="H373" s="3"/>
      <c r="I373" s="35"/>
      <c r="J373" s="35" t="str">
        <f>IF(OR(TRIM(E373)="", TRIM(H373)=""), "", IFERROR(IF(OR(VLOOKUP(E373&amp;"|"&amp;H373&amp;"", DB!$A:$N, 6, FALSE)="", VLOOKUP(E373&amp;"|"&amp;H373&amp;"", DB!$A:$N, 6, FALSE)="-"), "", VLOOKUP(E373&amp;"|"&amp;H373&amp;"", DB!$A:$N, 6, FALSE)), ""))</f>
        <v/>
      </c>
      <c r="K373" s="35"/>
      <c r="L373" s="35"/>
      <c r="M373" s="35"/>
      <c r="N373" s="35" t="str">
        <f t="shared" si="5"/>
        <v/>
      </c>
      <c r="O373" s="34"/>
      <c r="P373" s="34"/>
      <c r="Q373" s="34"/>
      <c r="R373" s="34"/>
      <c r="S373" s="34"/>
      <c r="T373" s="34"/>
      <c r="U373" s="34"/>
      <c r="V373" s="34"/>
    </row>
    <row r="374" spans="1:22">
      <c r="A374" s="35"/>
      <c r="B374" s="3"/>
      <c r="C374" s="35"/>
      <c r="D374" s="34"/>
      <c r="E374" s="34"/>
      <c r="F374" s="35"/>
      <c r="G374" s="35"/>
      <c r="H374" s="3"/>
      <c r="I374" s="35"/>
      <c r="J374" s="35" t="str">
        <f>IF(OR(TRIM(E374)="", TRIM(H374)=""), "", IFERROR(IF(OR(VLOOKUP(E374&amp;"|"&amp;H374&amp;"", DB!$A:$N, 6, FALSE)="", VLOOKUP(E374&amp;"|"&amp;H374&amp;"", DB!$A:$N, 6, FALSE)="-"), "", VLOOKUP(E374&amp;"|"&amp;H374&amp;"", DB!$A:$N, 6, FALSE)), ""))</f>
        <v/>
      </c>
      <c r="K374" s="35"/>
      <c r="L374" s="35"/>
      <c r="M374" s="35"/>
      <c r="N374" s="35" t="str">
        <f t="shared" si="5"/>
        <v/>
      </c>
      <c r="O374" s="34"/>
      <c r="P374" s="34"/>
      <c r="Q374" s="34"/>
      <c r="R374" s="34"/>
      <c r="S374" s="34"/>
      <c r="T374" s="34"/>
      <c r="U374" s="34"/>
      <c r="V374" s="34"/>
    </row>
    <row r="375" spans="1:22">
      <c r="A375" s="35"/>
      <c r="B375" s="3"/>
      <c r="C375" s="35"/>
      <c r="D375" s="34"/>
      <c r="E375" s="34"/>
      <c r="F375" s="35"/>
      <c r="G375" s="35"/>
      <c r="H375" s="3"/>
      <c r="I375" s="35"/>
      <c r="J375" s="35" t="str">
        <f>IF(OR(TRIM(E375)="", TRIM(H375)=""), "", IFERROR(IF(OR(VLOOKUP(E375&amp;"|"&amp;H375&amp;"", DB!$A:$N, 6, FALSE)="", VLOOKUP(E375&amp;"|"&amp;H375&amp;"", DB!$A:$N, 6, FALSE)="-"), "", VLOOKUP(E375&amp;"|"&amp;H375&amp;"", DB!$A:$N, 6, FALSE)), ""))</f>
        <v/>
      </c>
      <c r="K375" s="35"/>
      <c r="L375" s="35"/>
      <c r="M375" s="35"/>
      <c r="N375" s="35" t="str">
        <f t="shared" si="5"/>
        <v/>
      </c>
      <c r="O375" s="34"/>
      <c r="P375" s="34"/>
      <c r="Q375" s="34"/>
      <c r="R375" s="34"/>
      <c r="S375" s="34"/>
      <c r="T375" s="34"/>
      <c r="U375" s="34"/>
      <c r="V375" s="34"/>
    </row>
    <row r="376" spans="1:22">
      <c r="A376" s="35"/>
      <c r="B376" s="3"/>
      <c r="C376" s="35"/>
      <c r="D376" s="34"/>
      <c r="E376" s="34"/>
      <c r="F376" s="35"/>
      <c r="G376" s="35"/>
      <c r="H376" s="3"/>
      <c r="I376" s="35"/>
      <c r="J376" s="35" t="str">
        <f>IF(OR(TRIM(E376)="", TRIM(H376)=""), "", IFERROR(IF(OR(VLOOKUP(E376&amp;"|"&amp;H376&amp;"", DB!$A:$N, 6, FALSE)="", VLOOKUP(E376&amp;"|"&amp;H376&amp;"", DB!$A:$N, 6, FALSE)="-"), "", VLOOKUP(E376&amp;"|"&amp;H376&amp;"", DB!$A:$N, 6, FALSE)), ""))</f>
        <v/>
      </c>
      <c r="K376" s="35"/>
      <c r="L376" s="35"/>
      <c r="M376" s="35"/>
      <c r="N376" s="35" t="str">
        <f t="shared" si="5"/>
        <v/>
      </c>
      <c r="O376" s="34"/>
      <c r="P376" s="34"/>
      <c r="Q376" s="34"/>
      <c r="R376" s="34"/>
      <c r="S376" s="34"/>
      <c r="T376" s="34"/>
      <c r="U376" s="34"/>
      <c r="V376" s="34"/>
    </row>
    <row r="377" spans="1:22">
      <c r="A377" s="35"/>
      <c r="B377" s="3"/>
      <c r="C377" s="35"/>
      <c r="D377" s="34"/>
      <c r="E377" s="34"/>
      <c r="F377" s="35"/>
      <c r="G377" s="35"/>
      <c r="H377" s="3"/>
      <c r="I377" s="35"/>
      <c r="J377" s="35" t="str">
        <f>IF(OR(TRIM(E377)="", TRIM(H377)=""), "", IFERROR(IF(OR(VLOOKUP(E377&amp;"|"&amp;H377&amp;"", DB!$A:$N, 6, FALSE)="", VLOOKUP(E377&amp;"|"&amp;H377&amp;"", DB!$A:$N, 6, FALSE)="-"), "", VLOOKUP(E377&amp;"|"&amp;H377&amp;"", DB!$A:$N, 6, FALSE)), ""))</f>
        <v/>
      </c>
      <c r="K377" s="35"/>
      <c r="L377" s="35"/>
      <c r="M377" s="35"/>
      <c r="N377" s="35" t="str">
        <f t="shared" si="5"/>
        <v/>
      </c>
      <c r="O377" s="34"/>
      <c r="P377" s="34"/>
      <c r="Q377" s="34"/>
      <c r="R377" s="34"/>
      <c r="S377" s="34"/>
      <c r="T377" s="34"/>
      <c r="U377" s="34"/>
      <c r="V377" s="34"/>
    </row>
    <row r="378" spans="1:22">
      <c r="A378" s="35"/>
      <c r="B378" s="3"/>
      <c r="C378" s="35"/>
      <c r="D378" s="34"/>
      <c r="E378" s="34"/>
      <c r="F378" s="35"/>
      <c r="G378" s="35"/>
      <c r="H378" s="3"/>
      <c r="I378" s="35"/>
      <c r="J378" s="35" t="str">
        <f>IF(OR(TRIM(E378)="", TRIM(H378)=""), "", IFERROR(IF(OR(VLOOKUP(E378&amp;"|"&amp;H378&amp;"", DB!$A:$N, 6, FALSE)="", VLOOKUP(E378&amp;"|"&amp;H378&amp;"", DB!$A:$N, 6, FALSE)="-"), "", VLOOKUP(E378&amp;"|"&amp;H378&amp;"", DB!$A:$N, 6, FALSE)), ""))</f>
        <v/>
      </c>
      <c r="K378" s="35"/>
      <c r="L378" s="35"/>
      <c r="M378" s="35"/>
      <c r="N378" s="35" t="str">
        <f t="shared" si="5"/>
        <v/>
      </c>
      <c r="O378" s="34"/>
      <c r="P378" s="34"/>
      <c r="Q378" s="34"/>
      <c r="R378" s="34"/>
      <c r="S378" s="34"/>
      <c r="T378" s="34"/>
      <c r="U378" s="34"/>
      <c r="V378" s="34"/>
    </row>
    <row r="379" spans="1:22">
      <c r="A379" s="35"/>
      <c r="B379" s="3"/>
      <c r="C379" s="35"/>
      <c r="D379" s="34"/>
      <c r="E379" s="34"/>
      <c r="F379" s="35"/>
      <c r="G379" s="35"/>
      <c r="H379" s="3"/>
      <c r="I379" s="35"/>
      <c r="J379" s="35" t="str">
        <f>IF(OR(TRIM(E379)="", TRIM(H379)=""), "", IFERROR(IF(OR(VLOOKUP(E379&amp;"|"&amp;H379&amp;"", DB!$A:$N, 6, FALSE)="", VLOOKUP(E379&amp;"|"&amp;H379&amp;"", DB!$A:$N, 6, FALSE)="-"), "", VLOOKUP(E379&amp;"|"&amp;H379&amp;"", DB!$A:$N, 6, FALSE)), ""))</f>
        <v/>
      </c>
      <c r="K379" s="35"/>
      <c r="L379" s="35"/>
      <c r="M379" s="35"/>
      <c r="N379" s="35" t="str">
        <f t="shared" si="5"/>
        <v/>
      </c>
      <c r="O379" s="34"/>
      <c r="P379" s="34"/>
      <c r="Q379" s="34"/>
      <c r="R379" s="34"/>
      <c r="S379" s="34"/>
      <c r="T379" s="34"/>
      <c r="U379" s="34"/>
      <c r="V379" s="34"/>
    </row>
    <row r="380" spans="1:22">
      <c r="A380" s="35"/>
      <c r="B380" s="3"/>
      <c r="C380" s="35"/>
      <c r="D380" s="34"/>
      <c r="E380" s="34"/>
      <c r="F380" s="35"/>
      <c r="G380" s="35"/>
      <c r="H380" s="3"/>
      <c r="I380" s="35"/>
      <c r="J380" s="35" t="str">
        <f>IF(OR(TRIM(E380)="", TRIM(H380)=""), "", IFERROR(IF(OR(VLOOKUP(E380&amp;"|"&amp;H380&amp;"", DB!$A:$N, 6, FALSE)="", VLOOKUP(E380&amp;"|"&amp;H380&amp;"", DB!$A:$N, 6, FALSE)="-"), "", VLOOKUP(E380&amp;"|"&amp;H380&amp;"", DB!$A:$N, 6, FALSE)), ""))</f>
        <v/>
      </c>
      <c r="K380" s="35"/>
      <c r="L380" s="35"/>
      <c r="M380" s="35"/>
      <c r="N380" s="35" t="str">
        <f t="shared" si="5"/>
        <v/>
      </c>
      <c r="O380" s="34"/>
      <c r="P380" s="34"/>
      <c r="Q380" s="34"/>
      <c r="R380" s="34"/>
      <c r="S380" s="34"/>
      <c r="T380" s="34"/>
      <c r="U380" s="34"/>
      <c r="V380" s="34"/>
    </row>
    <row r="381" spans="1:22">
      <c r="A381" s="35"/>
      <c r="B381" s="3"/>
      <c r="C381" s="35"/>
      <c r="D381" s="34"/>
      <c r="E381" s="34"/>
      <c r="F381" s="35"/>
      <c r="G381" s="35"/>
      <c r="H381" s="3"/>
      <c r="I381" s="35"/>
      <c r="J381" s="35" t="str">
        <f>IF(OR(TRIM(E381)="", TRIM(H381)=""), "", IFERROR(IF(OR(VLOOKUP(E381&amp;"|"&amp;H381&amp;"", DB!$A:$N, 6, FALSE)="", VLOOKUP(E381&amp;"|"&amp;H381&amp;"", DB!$A:$N, 6, FALSE)="-"), "", VLOOKUP(E381&amp;"|"&amp;H381&amp;"", DB!$A:$N, 6, FALSE)), ""))</f>
        <v/>
      </c>
      <c r="K381" s="35"/>
      <c r="L381" s="35"/>
      <c r="M381" s="35"/>
      <c r="N381" s="35" t="str">
        <f t="shared" si="5"/>
        <v/>
      </c>
      <c r="O381" s="34"/>
      <c r="P381" s="34"/>
      <c r="Q381" s="34"/>
      <c r="R381" s="34"/>
      <c r="S381" s="34"/>
      <c r="T381" s="34"/>
      <c r="U381" s="34"/>
      <c r="V381" s="34"/>
    </row>
    <row r="382" spans="1:22">
      <c r="A382" s="35"/>
      <c r="B382" s="3"/>
      <c r="C382" s="35"/>
      <c r="D382" s="34"/>
      <c r="E382" s="34"/>
      <c r="F382" s="35"/>
      <c r="G382" s="35"/>
      <c r="H382" s="3"/>
      <c r="I382" s="35"/>
      <c r="J382" s="35" t="str">
        <f>IF(OR(TRIM(E382)="", TRIM(H382)=""), "", IFERROR(IF(OR(VLOOKUP(E382&amp;"|"&amp;H382&amp;"", DB!$A:$N, 6, FALSE)="", VLOOKUP(E382&amp;"|"&amp;H382&amp;"", DB!$A:$N, 6, FALSE)="-"), "", VLOOKUP(E382&amp;"|"&amp;H382&amp;"", DB!$A:$N, 6, FALSE)), ""))</f>
        <v/>
      </c>
      <c r="K382" s="35"/>
      <c r="L382" s="35"/>
      <c r="M382" s="35"/>
      <c r="N382" s="35" t="str">
        <f t="shared" si="5"/>
        <v/>
      </c>
      <c r="O382" s="34"/>
      <c r="P382" s="34"/>
      <c r="Q382" s="34"/>
      <c r="R382" s="34"/>
      <c r="S382" s="34"/>
      <c r="T382" s="34"/>
      <c r="U382" s="34"/>
      <c r="V382" s="34"/>
    </row>
    <row r="383" spans="1:22">
      <c r="A383" s="35"/>
      <c r="B383" s="3"/>
      <c r="C383" s="35"/>
      <c r="D383" s="34"/>
      <c r="E383" s="34"/>
      <c r="F383" s="35"/>
      <c r="G383" s="35"/>
      <c r="H383" s="3"/>
      <c r="I383" s="35"/>
      <c r="J383" s="35" t="str">
        <f>IF(OR(TRIM(E383)="", TRIM(H383)=""), "", IFERROR(IF(OR(VLOOKUP(E383&amp;"|"&amp;H383&amp;"", DB!$A:$N, 6, FALSE)="", VLOOKUP(E383&amp;"|"&amp;H383&amp;"", DB!$A:$N, 6, FALSE)="-"), "", VLOOKUP(E383&amp;"|"&amp;H383&amp;"", DB!$A:$N, 6, FALSE)), ""))</f>
        <v/>
      </c>
      <c r="K383" s="35"/>
      <c r="L383" s="35"/>
      <c r="M383" s="35"/>
      <c r="N383" s="35" t="str">
        <f t="shared" si="5"/>
        <v/>
      </c>
      <c r="O383" s="34"/>
      <c r="P383" s="34"/>
      <c r="Q383" s="34"/>
      <c r="R383" s="34"/>
      <c r="S383" s="34"/>
      <c r="T383" s="34"/>
      <c r="U383" s="34"/>
      <c r="V383" s="34"/>
    </row>
    <row r="384" spans="1:22">
      <c r="A384" s="35"/>
      <c r="B384" s="3"/>
      <c r="C384" s="35"/>
      <c r="D384" s="34"/>
      <c r="E384" s="34"/>
      <c r="F384" s="35"/>
      <c r="G384" s="35"/>
      <c r="H384" s="3"/>
      <c r="I384" s="35"/>
      <c r="J384" s="35" t="str">
        <f>IF(OR(TRIM(E384)="", TRIM(H384)=""), "", IFERROR(IF(OR(VLOOKUP(E384&amp;"|"&amp;H384&amp;"", DB!$A:$N, 6, FALSE)="", VLOOKUP(E384&amp;"|"&amp;H384&amp;"", DB!$A:$N, 6, FALSE)="-"), "", VLOOKUP(E384&amp;"|"&amp;H384&amp;"", DB!$A:$N, 6, FALSE)), ""))</f>
        <v/>
      </c>
      <c r="K384" s="35"/>
      <c r="L384" s="35"/>
      <c r="M384" s="35"/>
      <c r="N384" s="35" t="str">
        <f t="shared" si="5"/>
        <v/>
      </c>
      <c r="O384" s="34"/>
      <c r="P384" s="34"/>
      <c r="Q384" s="34"/>
      <c r="R384" s="34"/>
      <c r="S384" s="34"/>
      <c r="T384" s="34"/>
      <c r="U384" s="34"/>
      <c r="V384" s="34"/>
    </row>
    <row r="385" spans="1:22">
      <c r="A385" s="35"/>
      <c r="B385" s="3"/>
      <c r="C385" s="35"/>
      <c r="D385" s="34"/>
      <c r="E385" s="34"/>
      <c r="F385" s="35"/>
      <c r="G385" s="35"/>
      <c r="H385" s="3"/>
      <c r="I385" s="35"/>
      <c r="J385" s="35" t="str">
        <f>IF(OR(TRIM(E385)="", TRIM(H385)=""), "", IFERROR(IF(OR(VLOOKUP(E385&amp;"|"&amp;H385&amp;"", DB!$A:$N, 6, FALSE)="", VLOOKUP(E385&amp;"|"&amp;H385&amp;"", DB!$A:$N, 6, FALSE)="-"), "", VLOOKUP(E385&amp;"|"&amp;H385&amp;"", DB!$A:$N, 6, FALSE)), ""))</f>
        <v/>
      </c>
      <c r="K385" s="35"/>
      <c r="L385" s="35"/>
      <c r="M385" s="35"/>
      <c r="N385" s="35" t="str">
        <f t="shared" si="5"/>
        <v/>
      </c>
      <c r="O385" s="34"/>
      <c r="P385" s="34"/>
      <c r="Q385" s="34"/>
      <c r="R385" s="34"/>
      <c r="S385" s="34"/>
      <c r="T385" s="34"/>
      <c r="U385" s="34"/>
      <c r="V385" s="34"/>
    </row>
    <row r="386" spans="1:22">
      <c r="A386" s="35"/>
      <c r="B386" s="3"/>
      <c r="C386" s="35"/>
      <c r="D386" s="34"/>
      <c r="E386" s="34"/>
      <c r="F386" s="35"/>
      <c r="G386" s="35"/>
      <c r="H386" s="3"/>
      <c r="I386" s="35"/>
      <c r="J386" s="35" t="str">
        <f>IF(OR(TRIM(E386)="", TRIM(H386)=""), "", IFERROR(IF(OR(VLOOKUP(E386&amp;"|"&amp;H386&amp;"", DB!$A:$N, 6, FALSE)="", VLOOKUP(E386&amp;"|"&amp;H386&amp;"", DB!$A:$N, 6, FALSE)="-"), "", VLOOKUP(E386&amp;"|"&amp;H386&amp;"", DB!$A:$N, 6, FALSE)), ""))</f>
        <v/>
      </c>
      <c r="K386" s="35"/>
      <c r="L386" s="35"/>
      <c r="M386" s="35"/>
      <c r="N386" s="35" t="str">
        <f t="shared" ref="N386:N449" si="6">IF(TRIM(D386)="", "", IF(N(L386)-N(M386)&lt;=0, "X", N(L386)-N(M386)))</f>
        <v/>
      </c>
      <c r="O386" s="34"/>
      <c r="P386" s="34"/>
      <c r="Q386" s="34"/>
      <c r="R386" s="34"/>
      <c r="S386" s="34"/>
      <c r="T386" s="34"/>
      <c r="U386" s="34"/>
      <c r="V386" s="34"/>
    </row>
    <row r="387" spans="1:22">
      <c r="A387" s="35"/>
      <c r="B387" s="3"/>
      <c r="C387" s="35"/>
      <c r="D387" s="34"/>
      <c r="E387" s="34"/>
      <c r="F387" s="35"/>
      <c r="G387" s="35"/>
      <c r="H387" s="3"/>
      <c r="I387" s="35"/>
      <c r="J387" s="35" t="str">
        <f>IF(OR(TRIM(E387)="", TRIM(H387)=""), "", IFERROR(IF(OR(VLOOKUP(E387&amp;"|"&amp;H387&amp;"", DB!$A:$N, 6, FALSE)="", VLOOKUP(E387&amp;"|"&amp;H387&amp;"", DB!$A:$N, 6, FALSE)="-"), "", VLOOKUP(E387&amp;"|"&amp;H387&amp;"", DB!$A:$N, 6, FALSE)), ""))</f>
        <v/>
      </c>
      <c r="K387" s="35"/>
      <c r="L387" s="35"/>
      <c r="M387" s="35"/>
      <c r="N387" s="35" t="str">
        <f t="shared" si="6"/>
        <v/>
      </c>
      <c r="O387" s="34"/>
      <c r="P387" s="34"/>
      <c r="Q387" s="34"/>
      <c r="R387" s="34"/>
      <c r="S387" s="34"/>
      <c r="T387" s="34"/>
      <c r="U387" s="34"/>
      <c r="V387" s="34"/>
    </row>
    <row r="388" spans="1:22">
      <c r="A388" s="35"/>
      <c r="B388" s="3"/>
      <c r="C388" s="35"/>
      <c r="D388" s="34"/>
      <c r="E388" s="34"/>
      <c r="F388" s="35"/>
      <c r="G388" s="35"/>
      <c r="H388" s="3"/>
      <c r="I388" s="35"/>
      <c r="J388" s="35" t="str">
        <f>IF(OR(TRIM(E388)="", TRIM(H388)=""), "", IFERROR(IF(OR(VLOOKUP(E388&amp;"|"&amp;H388&amp;"", DB!$A:$N, 6, FALSE)="", VLOOKUP(E388&amp;"|"&amp;H388&amp;"", DB!$A:$N, 6, FALSE)="-"), "", VLOOKUP(E388&amp;"|"&amp;H388&amp;"", DB!$A:$N, 6, FALSE)), ""))</f>
        <v/>
      </c>
      <c r="K388" s="35"/>
      <c r="L388" s="35"/>
      <c r="M388" s="35"/>
      <c r="N388" s="35" t="str">
        <f t="shared" si="6"/>
        <v/>
      </c>
      <c r="O388" s="34"/>
      <c r="P388" s="34"/>
      <c r="Q388" s="34"/>
      <c r="R388" s="34"/>
      <c r="S388" s="34"/>
      <c r="T388" s="34"/>
      <c r="U388" s="34"/>
      <c r="V388" s="34"/>
    </row>
    <row r="389" spans="1:22">
      <c r="A389" s="35"/>
      <c r="B389" s="3"/>
      <c r="C389" s="35"/>
      <c r="D389" s="34"/>
      <c r="E389" s="34"/>
      <c r="F389" s="35"/>
      <c r="G389" s="35"/>
      <c r="H389" s="3"/>
      <c r="I389" s="35"/>
      <c r="J389" s="35" t="str">
        <f>IF(OR(TRIM(E389)="", TRIM(H389)=""), "", IFERROR(IF(OR(VLOOKUP(E389&amp;"|"&amp;H389&amp;"", DB!$A:$N, 6, FALSE)="", VLOOKUP(E389&amp;"|"&amp;H389&amp;"", DB!$A:$N, 6, FALSE)="-"), "", VLOOKUP(E389&amp;"|"&amp;H389&amp;"", DB!$A:$N, 6, FALSE)), ""))</f>
        <v/>
      </c>
      <c r="K389" s="35"/>
      <c r="L389" s="35"/>
      <c r="M389" s="35"/>
      <c r="N389" s="35" t="str">
        <f t="shared" si="6"/>
        <v/>
      </c>
      <c r="O389" s="34"/>
      <c r="P389" s="34"/>
      <c r="Q389" s="34"/>
      <c r="R389" s="34"/>
      <c r="S389" s="34"/>
      <c r="T389" s="34"/>
      <c r="U389" s="34"/>
      <c r="V389" s="34"/>
    </row>
    <row r="390" spans="1:22">
      <c r="A390" s="35"/>
      <c r="B390" s="3"/>
      <c r="C390" s="35"/>
      <c r="D390" s="34"/>
      <c r="E390" s="34"/>
      <c r="F390" s="35"/>
      <c r="G390" s="35"/>
      <c r="H390" s="3"/>
      <c r="I390" s="35"/>
      <c r="J390" s="35" t="str">
        <f>IF(OR(TRIM(E390)="", TRIM(H390)=""), "", IFERROR(IF(OR(VLOOKUP(E390&amp;"|"&amp;H390&amp;"", DB!$A:$N, 6, FALSE)="", VLOOKUP(E390&amp;"|"&amp;H390&amp;"", DB!$A:$N, 6, FALSE)="-"), "", VLOOKUP(E390&amp;"|"&amp;H390&amp;"", DB!$A:$N, 6, FALSE)), ""))</f>
        <v/>
      </c>
      <c r="K390" s="35"/>
      <c r="L390" s="35"/>
      <c r="M390" s="35"/>
      <c r="N390" s="35" t="str">
        <f t="shared" si="6"/>
        <v/>
      </c>
      <c r="O390" s="34"/>
      <c r="P390" s="34"/>
      <c r="Q390" s="34"/>
      <c r="R390" s="34"/>
      <c r="S390" s="34"/>
      <c r="T390" s="34"/>
      <c r="U390" s="34"/>
      <c r="V390" s="34"/>
    </row>
    <row r="391" spans="1:22">
      <c r="A391" s="35"/>
      <c r="B391" s="3"/>
      <c r="C391" s="35"/>
      <c r="D391" s="34"/>
      <c r="E391" s="34"/>
      <c r="F391" s="35"/>
      <c r="G391" s="35"/>
      <c r="H391" s="3"/>
      <c r="I391" s="35"/>
      <c r="J391" s="35" t="str">
        <f>IF(OR(TRIM(E391)="", TRIM(H391)=""), "", IFERROR(IF(OR(VLOOKUP(E391&amp;"|"&amp;H391&amp;"", DB!$A:$N, 6, FALSE)="", VLOOKUP(E391&amp;"|"&amp;H391&amp;"", DB!$A:$N, 6, FALSE)="-"), "", VLOOKUP(E391&amp;"|"&amp;H391&amp;"", DB!$A:$N, 6, FALSE)), ""))</f>
        <v/>
      </c>
      <c r="K391" s="35"/>
      <c r="L391" s="35"/>
      <c r="M391" s="35"/>
      <c r="N391" s="35" t="str">
        <f t="shared" si="6"/>
        <v/>
      </c>
      <c r="O391" s="34"/>
      <c r="P391" s="34"/>
      <c r="Q391" s="34"/>
      <c r="R391" s="34"/>
      <c r="S391" s="34"/>
      <c r="T391" s="34"/>
      <c r="U391" s="34"/>
      <c r="V391" s="34"/>
    </row>
    <row r="392" spans="1:22">
      <c r="A392" s="35"/>
      <c r="B392" s="3"/>
      <c r="C392" s="35"/>
      <c r="D392" s="34"/>
      <c r="E392" s="34"/>
      <c r="F392" s="35"/>
      <c r="G392" s="35"/>
      <c r="H392" s="3"/>
      <c r="I392" s="35"/>
      <c r="J392" s="35" t="str">
        <f>IF(OR(TRIM(E392)="", TRIM(H392)=""), "", IFERROR(IF(OR(VLOOKUP(E392&amp;"|"&amp;H392&amp;"", DB!$A:$N, 6, FALSE)="", VLOOKUP(E392&amp;"|"&amp;H392&amp;"", DB!$A:$N, 6, FALSE)="-"), "", VLOOKUP(E392&amp;"|"&amp;H392&amp;"", DB!$A:$N, 6, FALSE)), ""))</f>
        <v/>
      </c>
      <c r="K392" s="35"/>
      <c r="L392" s="35"/>
      <c r="M392" s="35"/>
      <c r="N392" s="35" t="str">
        <f t="shared" si="6"/>
        <v/>
      </c>
      <c r="O392" s="34"/>
      <c r="P392" s="34"/>
      <c r="Q392" s="34"/>
      <c r="R392" s="34"/>
      <c r="S392" s="34"/>
      <c r="T392" s="34"/>
      <c r="U392" s="34"/>
      <c r="V392" s="34"/>
    </row>
    <row r="393" spans="1:22">
      <c r="A393" s="35"/>
      <c r="B393" s="3"/>
      <c r="C393" s="35"/>
      <c r="D393" s="34"/>
      <c r="E393" s="34"/>
      <c r="F393" s="35"/>
      <c r="G393" s="35"/>
      <c r="H393" s="3"/>
      <c r="I393" s="35"/>
      <c r="J393" s="35" t="str">
        <f>IF(OR(TRIM(E393)="", TRIM(H393)=""), "", IFERROR(IF(OR(VLOOKUP(E393&amp;"|"&amp;H393&amp;"", DB!$A:$N, 6, FALSE)="", VLOOKUP(E393&amp;"|"&amp;H393&amp;"", DB!$A:$N, 6, FALSE)="-"), "", VLOOKUP(E393&amp;"|"&amp;H393&amp;"", DB!$A:$N, 6, FALSE)), ""))</f>
        <v/>
      </c>
      <c r="K393" s="35"/>
      <c r="L393" s="35"/>
      <c r="M393" s="35"/>
      <c r="N393" s="35" t="str">
        <f t="shared" si="6"/>
        <v/>
      </c>
      <c r="O393" s="34"/>
      <c r="P393" s="34"/>
      <c r="Q393" s="34"/>
      <c r="R393" s="34"/>
      <c r="S393" s="34"/>
      <c r="T393" s="34"/>
      <c r="U393" s="34"/>
      <c r="V393" s="34"/>
    </row>
    <row r="394" spans="1:22">
      <c r="A394" s="35"/>
      <c r="B394" s="3"/>
      <c r="C394" s="35"/>
      <c r="D394" s="34"/>
      <c r="E394" s="34"/>
      <c r="F394" s="35"/>
      <c r="G394" s="35"/>
      <c r="H394" s="3"/>
      <c r="I394" s="35"/>
      <c r="J394" s="35" t="str">
        <f>IF(OR(TRIM(E394)="", TRIM(H394)=""), "", IFERROR(IF(OR(VLOOKUP(E394&amp;"|"&amp;H394&amp;"", DB!$A:$N, 6, FALSE)="", VLOOKUP(E394&amp;"|"&amp;H394&amp;"", DB!$A:$N, 6, FALSE)="-"), "", VLOOKUP(E394&amp;"|"&amp;H394&amp;"", DB!$A:$N, 6, FALSE)), ""))</f>
        <v/>
      </c>
      <c r="K394" s="35"/>
      <c r="L394" s="35"/>
      <c r="M394" s="35"/>
      <c r="N394" s="35" t="str">
        <f t="shared" si="6"/>
        <v/>
      </c>
      <c r="O394" s="34"/>
      <c r="P394" s="34"/>
      <c r="Q394" s="34"/>
      <c r="R394" s="34"/>
      <c r="S394" s="34"/>
      <c r="T394" s="34"/>
      <c r="U394" s="34"/>
      <c r="V394" s="34"/>
    </row>
    <row r="395" spans="1:22">
      <c r="A395" s="35"/>
      <c r="B395" s="3"/>
      <c r="C395" s="35"/>
      <c r="D395" s="34"/>
      <c r="E395" s="34"/>
      <c r="F395" s="35"/>
      <c r="G395" s="35"/>
      <c r="H395" s="3"/>
      <c r="I395" s="35"/>
      <c r="J395" s="35" t="str">
        <f>IF(OR(TRIM(E395)="", TRIM(H395)=""), "", IFERROR(IF(OR(VLOOKUP(E395&amp;"|"&amp;H395&amp;"", DB!$A:$N, 6, FALSE)="", VLOOKUP(E395&amp;"|"&amp;H395&amp;"", DB!$A:$N, 6, FALSE)="-"), "", VLOOKUP(E395&amp;"|"&amp;H395&amp;"", DB!$A:$N, 6, FALSE)), ""))</f>
        <v/>
      </c>
      <c r="K395" s="35"/>
      <c r="L395" s="35"/>
      <c r="M395" s="35"/>
      <c r="N395" s="35" t="str">
        <f t="shared" si="6"/>
        <v/>
      </c>
      <c r="O395" s="34"/>
      <c r="P395" s="34"/>
      <c r="Q395" s="34"/>
      <c r="R395" s="34"/>
      <c r="S395" s="34"/>
      <c r="T395" s="34"/>
      <c r="U395" s="34"/>
      <c r="V395" s="34"/>
    </row>
    <row r="396" spans="1:22">
      <c r="A396" s="35"/>
      <c r="B396" s="3"/>
      <c r="C396" s="35"/>
      <c r="D396" s="34"/>
      <c r="E396" s="34"/>
      <c r="F396" s="35"/>
      <c r="G396" s="35"/>
      <c r="H396" s="3"/>
      <c r="I396" s="35"/>
      <c r="J396" s="35" t="str">
        <f>IF(OR(TRIM(E396)="", TRIM(H396)=""), "", IFERROR(IF(OR(VLOOKUP(E396&amp;"|"&amp;H396&amp;"", DB!$A:$N, 6, FALSE)="", VLOOKUP(E396&amp;"|"&amp;H396&amp;"", DB!$A:$N, 6, FALSE)="-"), "", VLOOKUP(E396&amp;"|"&amp;H396&amp;"", DB!$A:$N, 6, FALSE)), ""))</f>
        <v/>
      </c>
      <c r="K396" s="35"/>
      <c r="L396" s="35"/>
      <c r="M396" s="35"/>
      <c r="N396" s="35" t="str">
        <f t="shared" si="6"/>
        <v/>
      </c>
      <c r="O396" s="34"/>
      <c r="P396" s="34"/>
      <c r="Q396" s="34"/>
      <c r="R396" s="34"/>
      <c r="S396" s="34"/>
      <c r="T396" s="34"/>
      <c r="U396" s="34"/>
      <c r="V396" s="34"/>
    </row>
    <row r="397" spans="1:22">
      <c r="A397" s="35"/>
      <c r="B397" s="3"/>
      <c r="C397" s="35"/>
      <c r="D397" s="34"/>
      <c r="E397" s="34"/>
      <c r="F397" s="35"/>
      <c r="G397" s="35"/>
      <c r="H397" s="3"/>
      <c r="I397" s="35"/>
      <c r="J397" s="35" t="str">
        <f>IF(OR(TRIM(E397)="", TRIM(H397)=""), "", IFERROR(IF(OR(VLOOKUP(E397&amp;"|"&amp;H397&amp;"", DB!$A:$N, 6, FALSE)="", VLOOKUP(E397&amp;"|"&amp;H397&amp;"", DB!$A:$N, 6, FALSE)="-"), "", VLOOKUP(E397&amp;"|"&amp;H397&amp;"", DB!$A:$N, 6, FALSE)), ""))</f>
        <v/>
      </c>
      <c r="K397" s="35"/>
      <c r="L397" s="35"/>
      <c r="M397" s="35"/>
      <c r="N397" s="35" t="str">
        <f t="shared" si="6"/>
        <v/>
      </c>
      <c r="O397" s="34"/>
      <c r="P397" s="34"/>
      <c r="Q397" s="34"/>
      <c r="R397" s="34"/>
      <c r="S397" s="34"/>
      <c r="T397" s="34"/>
      <c r="U397" s="34"/>
      <c r="V397" s="34"/>
    </row>
    <row r="398" spans="1:22">
      <c r="A398" s="35"/>
      <c r="B398" s="3"/>
      <c r="C398" s="35"/>
      <c r="D398" s="34"/>
      <c r="E398" s="34"/>
      <c r="F398" s="35"/>
      <c r="G398" s="35"/>
      <c r="H398" s="3"/>
      <c r="I398" s="35"/>
      <c r="J398" s="35" t="str">
        <f>IF(OR(TRIM(E398)="", TRIM(H398)=""), "", IFERROR(IF(OR(VLOOKUP(E398&amp;"|"&amp;H398&amp;"", DB!$A:$N, 6, FALSE)="", VLOOKUP(E398&amp;"|"&amp;H398&amp;"", DB!$A:$N, 6, FALSE)="-"), "", VLOOKUP(E398&amp;"|"&amp;H398&amp;"", DB!$A:$N, 6, FALSE)), ""))</f>
        <v/>
      </c>
      <c r="K398" s="35"/>
      <c r="L398" s="35"/>
      <c r="M398" s="35"/>
      <c r="N398" s="35" t="str">
        <f t="shared" si="6"/>
        <v/>
      </c>
      <c r="O398" s="34"/>
      <c r="P398" s="34"/>
      <c r="Q398" s="34"/>
      <c r="R398" s="34"/>
      <c r="S398" s="34"/>
      <c r="T398" s="34"/>
      <c r="U398" s="34"/>
      <c r="V398" s="34"/>
    </row>
    <row r="399" spans="1:22">
      <c r="A399" s="35"/>
      <c r="B399" s="3"/>
      <c r="C399" s="35"/>
      <c r="D399" s="34"/>
      <c r="E399" s="34"/>
      <c r="F399" s="35"/>
      <c r="G399" s="35"/>
      <c r="H399" s="3"/>
      <c r="I399" s="35"/>
      <c r="J399" s="35" t="str">
        <f>IF(OR(TRIM(E399)="", TRIM(H399)=""), "", IFERROR(IF(OR(VLOOKUP(E399&amp;"|"&amp;H399&amp;"", DB!$A:$N, 6, FALSE)="", VLOOKUP(E399&amp;"|"&amp;H399&amp;"", DB!$A:$N, 6, FALSE)="-"), "", VLOOKUP(E399&amp;"|"&amp;H399&amp;"", DB!$A:$N, 6, FALSE)), ""))</f>
        <v/>
      </c>
      <c r="K399" s="35"/>
      <c r="L399" s="35"/>
      <c r="M399" s="35"/>
      <c r="N399" s="35" t="str">
        <f t="shared" si="6"/>
        <v/>
      </c>
      <c r="O399" s="34"/>
      <c r="P399" s="34"/>
      <c r="Q399" s="34"/>
      <c r="R399" s="34"/>
      <c r="S399" s="34"/>
      <c r="T399" s="34"/>
      <c r="U399" s="34"/>
      <c r="V399" s="34"/>
    </row>
    <row r="400" spans="1:22">
      <c r="A400" s="35"/>
      <c r="B400" s="3"/>
      <c r="C400" s="35"/>
      <c r="D400" s="34"/>
      <c r="E400" s="34"/>
      <c r="F400" s="35"/>
      <c r="G400" s="35"/>
      <c r="H400" s="3"/>
      <c r="I400" s="35"/>
      <c r="J400" s="35" t="str">
        <f>IF(OR(TRIM(E400)="", TRIM(H400)=""), "", IFERROR(IF(OR(VLOOKUP(E400&amp;"|"&amp;H400&amp;"", DB!$A:$N, 6, FALSE)="", VLOOKUP(E400&amp;"|"&amp;H400&amp;"", DB!$A:$N, 6, FALSE)="-"), "", VLOOKUP(E400&amp;"|"&amp;H400&amp;"", DB!$A:$N, 6, FALSE)), ""))</f>
        <v/>
      </c>
      <c r="K400" s="35"/>
      <c r="L400" s="35"/>
      <c r="M400" s="35"/>
      <c r="N400" s="35" t="str">
        <f t="shared" si="6"/>
        <v/>
      </c>
      <c r="O400" s="34"/>
      <c r="P400" s="34"/>
      <c r="Q400" s="34"/>
      <c r="R400" s="34"/>
      <c r="S400" s="34"/>
      <c r="T400" s="34"/>
      <c r="U400" s="34"/>
      <c r="V400" s="34"/>
    </row>
    <row r="401" spans="1:22">
      <c r="A401" s="35"/>
      <c r="B401" s="3"/>
      <c r="C401" s="35"/>
      <c r="D401" s="34"/>
      <c r="E401" s="34"/>
      <c r="F401" s="35"/>
      <c r="G401" s="35"/>
      <c r="H401" s="3"/>
      <c r="I401" s="35"/>
      <c r="J401" s="35" t="str">
        <f>IF(OR(TRIM(E401)="", TRIM(H401)=""), "", IFERROR(IF(OR(VLOOKUP(E401&amp;"|"&amp;H401&amp;"", DB!$A:$N, 6, FALSE)="", VLOOKUP(E401&amp;"|"&amp;H401&amp;"", DB!$A:$N, 6, FALSE)="-"), "", VLOOKUP(E401&amp;"|"&amp;H401&amp;"", DB!$A:$N, 6, FALSE)), ""))</f>
        <v/>
      </c>
      <c r="K401" s="35"/>
      <c r="L401" s="35"/>
      <c r="M401" s="35"/>
      <c r="N401" s="35" t="str">
        <f t="shared" si="6"/>
        <v/>
      </c>
      <c r="O401" s="34"/>
      <c r="P401" s="34"/>
      <c r="Q401" s="34"/>
      <c r="R401" s="34"/>
      <c r="S401" s="34"/>
      <c r="T401" s="34"/>
      <c r="U401" s="34"/>
      <c r="V401" s="34"/>
    </row>
    <row r="402" spans="1:22">
      <c r="A402" s="35"/>
      <c r="B402" s="3"/>
      <c r="C402" s="35"/>
      <c r="D402" s="34"/>
      <c r="E402" s="34"/>
      <c r="F402" s="35"/>
      <c r="G402" s="35"/>
      <c r="H402" s="3"/>
      <c r="I402" s="35"/>
      <c r="J402" s="35" t="str">
        <f>IF(OR(TRIM(E402)="", TRIM(H402)=""), "", IFERROR(IF(OR(VLOOKUP(E402&amp;"|"&amp;H402&amp;"", DB!$A:$N, 6, FALSE)="", VLOOKUP(E402&amp;"|"&amp;H402&amp;"", DB!$A:$N, 6, FALSE)="-"), "", VLOOKUP(E402&amp;"|"&amp;H402&amp;"", DB!$A:$N, 6, FALSE)), ""))</f>
        <v/>
      </c>
      <c r="K402" s="35"/>
      <c r="L402" s="35"/>
      <c r="M402" s="35"/>
      <c r="N402" s="35" t="str">
        <f t="shared" si="6"/>
        <v/>
      </c>
      <c r="O402" s="34"/>
      <c r="P402" s="34"/>
      <c r="Q402" s="34"/>
      <c r="R402" s="34"/>
      <c r="S402" s="34"/>
      <c r="T402" s="34"/>
      <c r="U402" s="34"/>
      <c r="V402" s="34"/>
    </row>
    <row r="403" spans="1:22">
      <c r="A403" s="35"/>
      <c r="B403" s="3"/>
      <c r="C403" s="35"/>
      <c r="D403" s="34"/>
      <c r="E403" s="34"/>
      <c r="F403" s="35"/>
      <c r="G403" s="35"/>
      <c r="H403" s="3"/>
      <c r="I403" s="35"/>
      <c r="J403" s="35" t="str">
        <f>IF(OR(TRIM(E403)="", TRIM(H403)=""), "", IFERROR(IF(OR(VLOOKUP(E403&amp;"|"&amp;H403&amp;"", DB!$A:$N, 6, FALSE)="", VLOOKUP(E403&amp;"|"&amp;H403&amp;"", DB!$A:$N, 6, FALSE)="-"), "", VLOOKUP(E403&amp;"|"&amp;H403&amp;"", DB!$A:$N, 6, FALSE)), ""))</f>
        <v/>
      </c>
      <c r="K403" s="35"/>
      <c r="L403" s="35"/>
      <c r="M403" s="35"/>
      <c r="N403" s="35" t="str">
        <f t="shared" si="6"/>
        <v/>
      </c>
      <c r="O403" s="34"/>
      <c r="P403" s="34"/>
      <c r="Q403" s="34"/>
      <c r="R403" s="34"/>
      <c r="S403" s="34"/>
      <c r="T403" s="34"/>
      <c r="U403" s="34"/>
      <c r="V403" s="34"/>
    </row>
    <row r="404" spans="1:22">
      <c r="A404" s="35"/>
      <c r="B404" s="3"/>
      <c r="C404" s="35"/>
      <c r="D404" s="34"/>
      <c r="E404" s="34"/>
      <c r="F404" s="35"/>
      <c r="G404" s="35"/>
      <c r="H404" s="3"/>
      <c r="I404" s="35"/>
      <c r="J404" s="35" t="str">
        <f>IF(OR(TRIM(E404)="", TRIM(H404)=""), "", IFERROR(IF(OR(VLOOKUP(E404&amp;"|"&amp;H404&amp;"", DB!$A:$N, 6, FALSE)="", VLOOKUP(E404&amp;"|"&amp;H404&amp;"", DB!$A:$N, 6, FALSE)="-"), "", VLOOKUP(E404&amp;"|"&amp;H404&amp;"", DB!$A:$N, 6, FALSE)), ""))</f>
        <v/>
      </c>
      <c r="K404" s="35"/>
      <c r="L404" s="35"/>
      <c r="M404" s="35"/>
      <c r="N404" s="35" t="str">
        <f t="shared" si="6"/>
        <v/>
      </c>
      <c r="O404" s="34"/>
      <c r="P404" s="34"/>
      <c r="Q404" s="34"/>
      <c r="R404" s="34"/>
      <c r="S404" s="34"/>
      <c r="T404" s="34"/>
      <c r="U404" s="34"/>
      <c r="V404" s="34"/>
    </row>
    <row r="405" spans="1:22">
      <c r="A405" s="35"/>
      <c r="B405" s="3"/>
      <c r="C405" s="35"/>
      <c r="D405" s="34"/>
      <c r="E405" s="34"/>
      <c r="F405" s="35"/>
      <c r="G405" s="35"/>
      <c r="H405" s="3"/>
      <c r="I405" s="35"/>
      <c r="J405" s="35" t="str">
        <f>IF(OR(TRIM(E405)="", TRIM(H405)=""), "", IFERROR(IF(OR(VLOOKUP(E405&amp;"|"&amp;H405&amp;"", DB!$A:$N, 6, FALSE)="", VLOOKUP(E405&amp;"|"&amp;H405&amp;"", DB!$A:$N, 6, FALSE)="-"), "", VLOOKUP(E405&amp;"|"&amp;H405&amp;"", DB!$A:$N, 6, FALSE)), ""))</f>
        <v/>
      </c>
      <c r="K405" s="35"/>
      <c r="L405" s="35"/>
      <c r="M405" s="35"/>
      <c r="N405" s="35" t="str">
        <f t="shared" si="6"/>
        <v/>
      </c>
      <c r="O405" s="34"/>
      <c r="P405" s="34"/>
      <c r="Q405" s="34"/>
      <c r="R405" s="34"/>
      <c r="S405" s="34"/>
      <c r="T405" s="34"/>
      <c r="U405" s="34"/>
      <c r="V405" s="34"/>
    </row>
    <row r="406" spans="1:22">
      <c r="A406" s="35"/>
      <c r="B406" s="3"/>
      <c r="C406" s="35"/>
      <c r="D406" s="34"/>
      <c r="E406" s="34"/>
      <c r="F406" s="35"/>
      <c r="G406" s="35"/>
      <c r="H406" s="3"/>
      <c r="I406" s="35"/>
      <c r="J406" s="35" t="str">
        <f>IF(OR(TRIM(E406)="", TRIM(H406)=""), "", IFERROR(IF(OR(VLOOKUP(E406&amp;"|"&amp;H406&amp;"", DB!$A:$N, 6, FALSE)="", VLOOKUP(E406&amp;"|"&amp;H406&amp;"", DB!$A:$N, 6, FALSE)="-"), "", VLOOKUP(E406&amp;"|"&amp;H406&amp;"", DB!$A:$N, 6, FALSE)), ""))</f>
        <v/>
      </c>
      <c r="K406" s="35"/>
      <c r="L406" s="35"/>
      <c r="M406" s="35"/>
      <c r="N406" s="35" t="str">
        <f t="shared" si="6"/>
        <v/>
      </c>
      <c r="O406" s="34"/>
      <c r="P406" s="34"/>
      <c r="Q406" s="34"/>
      <c r="R406" s="34"/>
      <c r="S406" s="34"/>
      <c r="T406" s="34"/>
      <c r="U406" s="34"/>
      <c r="V406" s="34"/>
    </row>
    <row r="407" spans="1:22">
      <c r="A407" s="35"/>
      <c r="B407" s="3"/>
      <c r="C407" s="35"/>
      <c r="D407" s="34"/>
      <c r="E407" s="34"/>
      <c r="F407" s="35"/>
      <c r="G407" s="35"/>
      <c r="H407" s="3"/>
      <c r="I407" s="35"/>
      <c r="J407" s="35" t="str">
        <f>IF(OR(TRIM(E407)="", TRIM(H407)=""), "", IFERROR(IF(OR(VLOOKUP(E407&amp;"|"&amp;H407&amp;"", DB!$A:$N, 6, FALSE)="", VLOOKUP(E407&amp;"|"&amp;H407&amp;"", DB!$A:$N, 6, FALSE)="-"), "", VLOOKUP(E407&amp;"|"&amp;H407&amp;"", DB!$A:$N, 6, FALSE)), ""))</f>
        <v/>
      </c>
      <c r="K407" s="35"/>
      <c r="L407" s="35"/>
      <c r="M407" s="35"/>
      <c r="N407" s="35" t="str">
        <f t="shared" si="6"/>
        <v/>
      </c>
      <c r="O407" s="34"/>
      <c r="P407" s="34"/>
      <c r="Q407" s="34"/>
      <c r="R407" s="34"/>
      <c r="S407" s="34"/>
      <c r="T407" s="34"/>
      <c r="U407" s="34"/>
      <c r="V407" s="34"/>
    </row>
    <row r="408" spans="1:22">
      <c r="A408" s="35"/>
      <c r="B408" s="3"/>
      <c r="C408" s="35"/>
      <c r="D408" s="34"/>
      <c r="E408" s="34"/>
      <c r="F408" s="35"/>
      <c r="G408" s="35"/>
      <c r="H408" s="3"/>
      <c r="I408" s="35"/>
      <c r="J408" s="35" t="str">
        <f>IF(OR(TRIM(E408)="", TRIM(H408)=""), "", IFERROR(IF(OR(VLOOKUP(E408&amp;"|"&amp;H408&amp;"", DB!$A:$N, 6, FALSE)="", VLOOKUP(E408&amp;"|"&amp;H408&amp;"", DB!$A:$N, 6, FALSE)="-"), "", VLOOKUP(E408&amp;"|"&amp;H408&amp;"", DB!$A:$N, 6, FALSE)), ""))</f>
        <v/>
      </c>
      <c r="K408" s="35"/>
      <c r="L408" s="35"/>
      <c r="M408" s="35"/>
      <c r="N408" s="35" t="str">
        <f t="shared" si="6"/>
        <v/>
      </c>
      <c r="O408" s="34"/>
      <c r="P408" s="34"/>
      <c r="Q408" s="34"/>
      <c r="R408" s="34"/>
      <c r="S408" s="34"/>
      <c r="T408" s="34"/>
      <c r="U408" s="34"/>
      <c r="V408" s="34"/>
    </row>
    <row r="409" spans="1:22">
      <c r="A409" s="35"/>
      <c r="B409" s="3"/>
      <c r="C409" s="35"/>
      <c r="D409" s="34"/>
      <c r="E409" s="34"/>
      <c r="F409" s="35"/>
      <c r="G409" s="35"/>
      <c r="H409" s="3"/>
      <c r="I409" s="35"/>
      <c r="J409" s="35" t="str">
        <f>IF(OR(TRIM(E409)="", TRIM(H409)=""), "", IFERROR(IF(OR(VLOOKUP(E409&amp;"|"&amp;H409&amp;"", DB!$A:$N, 6, FALSE)="", VLOOKUP(E409&amp;"|"&amp;H409&amp;"", DB!$A:$N, 6, FALSE)="-"), "", VLOOKUP(E409&amp;"|"&amp;H409&amp;"", DB!$A:$N, 6, FALSE)), ""))</f>
        <v/>
      </c>
      <c r="K409" s="35"/>
      <c r="L409" s="35"/>
      <c r="M409" s="35"/>
      <c r="N409" s="35" t="str">
        <f t="shared" si="6"/>
        <v/>
      </c>
      <c r="O409" s="34"/>
      <c r="P409" s="34"/>
      <c r="Q409" s="34"/>
      <c r="R409" s="34"/>
      <c r="S409" s="34"/>
      <c r="T409" s="34"/>
      <c r="U409" s="34"/>
      <c r="V409" s="34"/>
    </row>
    <row r="410" spans="1:22">
      <c r="A410" s="35"/>
      <c r="B410" s="3"/>
      <c r="C410" s="35"/>
      <c r="D410" s="34"/>
      <c r="E410" s="34"/>
      <c r="F410" s="35"/>
      <c r="G410" s="35"/>
      <c r="H410" s="3"/>
      <c r="I410" s="35"/>
      <c r="J410" s="35" t="str">
        <f>IF(OR(TRIM(E410)="", TRIM(H410)=""), "", IFERROR(IF(OR(VLOOKUP(E410&amp;"|"&amp;H410&amp;"", DB!$A:$N, 6, FALSE)="", VLOOKUP(E410&amp;"|"&amp;H410&amp;"", DB!$A:$N, 6, FALSE)="-"), "", VLOOKUP(E410&amp;"|"&amp;H410&amp;"", DB!$A:$N, 6, FALSE)), ""))</f>
        <v/>
      </c>
      <c r="K410" s="35"/>
      <c r="L410" s="35"/>
      <c r="M410" s="35"/>
      <c r="N410" s="35" t="str">
        <f t="shared" si="6"/>
        <v/>
      </c>
      <c r="O410" s="34"/>
      <c r="P410" s="34"/>
      <c r="Q410" s="34"/>
      <c r="R410" s="34"/>
      <c r="S410" s="34"/>
      <c r="T410" s="34"/>
      <c r="U410" s="34"/>
      <c r="V410" s="34"/>
    </row>
    <row r="411" spans="1:22">
      <c r="A411" s="35"/>
      <c r="B411" s="3"/>
      <c r="C411" s="35"/>
      <c r="D411" s="34"/>
      <c r="E411" s="34"/>
      <c r="F411" s="35"/>
      <c r="G411" s="35"/>
      <c r="H411" s="3"/>
      <c r="I411" s="35"/>
      <c r="J411" s="35" t="str">
        <f>IF(OR(TRIM(E411)="", TRIM(H411)=""), "", IFERROR(IF(OR(VLOOKUP(E411&amp;"|"&amp;H411&amp;"", DB!$A:$N, 6, FALSE)="", VLOOKUP(E411&amp;"|"&amp;H411&amp;"", DB!$A:$N, 6, FALSE)="-"), "", VLOOKUP(E411&amp;"|"&amp;H411&amp;"", DB!$A:$N, 6, FALSE)), ""))</f>
        <v/>
      </c>
      <c r="K411" s="35"/>
      <c r="L411" s="35"/>
      <c r="M411" s="35"/>
      <c r="N411" s="35" t="str">
        <f t="shared" si="6"/>
        <v/>
      </c>
      <c r="O411" s="34"/>
      <c r="P411" s="34"/>
      <c r="Q411" s="34"/>
      <c r="R411" s="34"/>
      <c r="S411" s="34"/>
      <c r="T411" s="34"/>
      <c r="U411" s="34"/>
      <c r="V411" s="34"/>
    </row>
    <row r="412" spans="1:22">
      <c r="A412" s="35"/>
      <c r="B412" s="3"/>
      <c r="C412" s="35"/>
      <c r="D412" s="34"/>
      <c r="E412" s="34"/>
      <c r="F412" s="35"/>
      <c r="G412" s="35"/>
      <c r="H412" s="3"/>
      <c r="I412" s="35"/>
      <c r="J412" s="35" t="str">
        <f>IF(OR(TRIM(E412)="", TRIM(H412)=""), "", IFERROR(IF(OR(VLOOKUP(E412&amp;"|"&amp;H412&amp;"", DB!$A:$N, 6, FALSE)="", VLOOKUP(E412&amp;"|"&amp;H412&amp;"", DB!$A:$N, 6, FALSE)="-"), "", VLOOKUP(E412&amp;"|"&amp;H412&amp;"", DB!$A:$N, 6, FALSE)), ""))</f>
        <v/>
      </c>
      <c r="K412" s="35"/>
      <c r="L412" s="35"/>
      <c r="M412" s="35"/>
      <c r="N412" s="35" t="str">
        <f t="shared" si="6"/>
        <v/>
      </c>
      <c r="O412" s="34"/>
      <c r="P412" s="34"/>
      <c r="Q412" s="34"/>
      <c r="R412" s="34"/>
      <c r="S412" s="34"/>
      <c r="T412" s="34"/>
      <c r="U412" s="34"/>
      <c r="V412" s="34"/>
    </row>
    <row r="413" spans="1:22">
      <c r="A413" s="35"/>
      <c r="B413" s="3"/>
      <c r="C413" s="35"/>
      <c r="D413" s="34"/>
      <c r="E413" s="34"/>
      <c r="F413" s="35"/>
      <c r="G413" s="35"/>
      <c r="H413" s="3"/>
      <c r="I413" s="35"/>
      <c r="J413" s="35" t="str">
        <f>IF(OR(TRIM(E413)="", TRIM(H413)=""), "", IFERROR(IF(OR(VLOOKUP(E413&amp;"|"&amp;H413&amp;"", DB!$A:$N, 6, FALSE)="", VLOOKUP(E413&amp;"|"&amp;H413&amp;"", DB!$A:$N, 6, FALSE)="-"), "", VLOOKUP(E413&amp;"|"&amp;H413&amp;"", DB!$A:$N, 6, FALSE)), ""))</f>
        <v/>
      </c>
      <c r="K413" s="35"/>
      <c r="L413" s="35"/>
      <c r="M413" s="35"/>
      <c r="N413" s="35" t="str">
        <f t="shared" si="6"/>
        <v/>
      </c>
      <c r="O413" s="34"/>
      <c r="P413" s="34"/>
      <c r="Q413" s="34"/>
      <c r="R413" s="34"/>
      <c r="S413" s="34"/>
      <c r="T413" s="34"/>
      <c r="U413" s="34"/>
      <c r="V413" s="34"/>
    </row>
    <row r="414" spans="1:22">
      <c r="A414" s="35"/>
      <c r="B414" s="3"/>
      <c r="C414" s="35"/>
      <c r="D414" s="34"/>
      <c r="E414" s="34"/>
      <c r="F414" s="35"/>
      <c r="G414" s="35"/>
      <c r="H414" s="3"/>
      <c r="I414" s="35"/>
      <c r="J414" s="35" t="str">
        <f>IF(OR(TRIM(E414)="", TRIM(H414)=""), "", IFERROR(IF(OR(VLOOKUP(E414&amp;"|"&amp;H414&amp;"", DB!$A:$N, 6, FALSE)="", VLOOKUP(E414&amp;"|"&amp;H414&amp;"", DB!$A:$N, 6, FALSE)="-"), "", VLOOKUP(E414&amp;"|"&amp;H414&amp;"", DB!$A:$N, 6, FALSE)), ""))</f>
        <v/>
      </c>
      <c r="K414" s="35"/>
      <c r="L414" s="35"/>
      <c r="M414" s="35"/>
      <c r="N414" s="35" t="str">
        <f t="shared" si="6"/>
        <v/>
      </c>
      <c r="O414" s="34"/>
      <c r="P414" s="34"/>
      <c r="Q414" s="34"/>
      <c r="R414" s="34"/>
      <c r="S414" s="34"/>
      <c r="T414" s="34"/>
      <c r="U414" s="34"/>
      <c r="V414" s="34"/>
    </row>
    <row r="415" spans="1:22">
      <c r="A415" s="35"/>
      <c r="B415" s="3"/>
      <c r="C415" s="35"/>
      <c r="D415" s="34"/>
      <c r="E415" s="34"/>
      <c r="F415" s="35"/>
      <c r="G415" s="35"/>
      <c r="H415" s="3"/>
      <c r="I415" s="35"/>
      <c r="J415" s="35" t="str">
        <f>IF(OR(TRIM(E415)="", TRIM(H415)=""), "", IFERROR(IF(OR(VLOOKUP(E415&amp;"|"&amp;H415&amp;"", DB!$A:$N, 6, FALSE)="", VLOOKUP(E415&amp;"|"&amp;H415&amp;"", DB!$A:$N, 6, FALSE)="-"), "", VLOOKUP(E415&amp;"|"&amp;H415&amp;"", DB!$A:$N, 6, FALSE)), ""))</f>
        <v/>
      </c>
      <c r="K415" s="35"/>
      <c r="L415" s="35"/>
      <c r="M415" s="35"/>
      <c r="N415" s="35" t="str">
        <f t="shared" si="6"/>
        <v/>
      </c>
      <c r="O415" s="34"/>
      <c r="P415" s="34"/>
      <c r="Q415" s="34"/>
      <c r="R415" s="34"/>
      <c r="S415" s="34"/>
      <c r="T415" s="34"/>
      <c r="U415" s="34"/>
      <c r="V415" s="34"/>
    </row>
    <row r="416" spans="1:22">
      <c r="A416" s="35"/>
      <c r="B416" s="3"/>
      <c r="C416" s="35"/>
      <c r="D416" s="34"/>
      <c r="E416" s="34"/>
      <c r="F416" s="35"/>
      <c r="G416" s="35"/>
      <c r="H416" s="3"/>
      <c r="I416" s="35"/>
      <c r="J416" s="35" t="str">
        <f>IF(OR(TRIM(E416)="", TRIM(H416)=""), "", IFERROR(IF(OR(VLOOKUP(E416&amp;"|"&amp;H416&amp;"", DB!$A:$N, 6, FALSE)="", VLOOKUP(E416&amp;"|"&amp;H416&amp;"", DB!$A:$N, 6, FALSE)="-"), "", VLOOKUP(E416&amp;"|"&amp;H416&amp;"", DB!$A:$N, 6, FALSE)), ""))</f>
        <v/>
      </c>
      <c r="K416" s="35"/>
      <c r="L416" s="35"/>
      <c r="M416" s="35"/>
      <c r="N416" s="35" t="str">
        <f t="shared" si="6"/>
        <v/>
      </c>
      <c r="O416" s="34"/>
      <c r="P416" s="34"/>
      <c r="Q416" s="34"/>
      <c r="R416" s="34"/>
      <c r="S416" s="34"/>
      <c r="T416" s="34"/>
      <c r="U416" s="34"/>
      <c r="V416" s="34"/>
    </row>
    <row r="417" spans="1:22">
      <c r="A417" s="35"/>
      <c r="B417" s="3"/>
      <c r="C417" s="35"/>
      <c r="D417" s="34"/>
      <c r="E417" s="34"/>
      <c r="F417" s="35"/>
      <c r="G417" s="35"/>
      <c r="H417" s="3"/>
      <c r="I417" s="35"/>
      <c r="J417" s="35" t="str">
        <f>IF(OR(TRIM(E417)="", TRIM(H417)=""), "", IFERROR(IF(OR(VLOOKUP(E417&amp;"|"&amp;H417&amp;"", DB!$A:$N, 6, FALSE)="", VLOOKUP(E417&amp;"|"&amp;H417&amp;"", DB!$A:$N, 6, FALSE)="-"), "", VLOOKUP(E417&amp;"|"&amp;H417&amp;"", DB!$A:$N, 6, FALSE)), ""))</f>
        <v/>
      </c>
      <c r="K417" s="35"/>
      <c r="L417" s="35"/>
      <c r="M417" s="35"/>
      <c r="N417" s="35" t="str">
        <f t="shared" si="6"/>
        <v/>
      </c>
      <c r="O417" s="34"/>
      <c r="P417" s="34"/>
      <c r="Q417" s="34"/>
      <c r="R417" s="34"/>
      <c r="S417" s="34"/>
      <c r="T417" s="34"/>
      <c r="U417" s="34"/>
      <c r="V417" s="34"/>
    </row>
    <row r="418" spans="1:22">
      <c r="A418" s="35"/>
      <c r="B418" s="3"/>
      <c r="C418" s="35"/>
      <c r="D418" s="34"/>
      <c r="E418" s="34"/>
      <c r="F418" s="35"/>
      <c r="G418" s="35"/>
      <c r="H418" s="3"/>
      <c r="I418" s="35"/>
      <c r="J418" s="35" t="str">
        <f>IF(OR(TRIM(E418)="", TRIM(H418)=""), "", IFERROR(IF(OR(VLOOKUP(E418&amp;"|"&amp;H418&amp;"", DB!$A:$N, 6, FALSE)="", VLOOKUP(E418&amp;"|"&amp;H418&amp;"", DB!$A:$N, 6, FALSE)="-"), "", VLOOKUP(E418&amp;"|"&amp;H418&amp;"", DB!$A:$N, 6, FALSE)), ""))</f>
        <v/>
      </c>
      <c r="K418" s="35"/>
      <c r="L418" s="35"/>
      <c r="M418" s="35"/>
      <c r="N418" s="35" t="str">
        <f t="shared" si="6"/>
        <v/>
      </c>
      <c r="O418" s="34"/>
      <c r="P418" s="34"/>
      <c r="Q418" s="34"/>
      <c r="R418" s="34"/>
      <c r="S418" s="34"/>
      <c r="T418" s="34"/>
      <c r="U418" s="34"/>
      <c r="V418" s="34"/>
    </row>
    <row r="419" spans="1:22">
      <c r="A419" s="35"/>
      <c r="B419" s="3"/>
      <c r="C419" s="35"/>
      <c r="D419" s="34"/>
      <c r="E419" s="34"/>
      <c r="F419" s="35"/>
      <c r="G419" s="35"/>
      <c r="H419" s="3"/>
      <c r="I419" s="35"/>
      <c r="J419" s="35" t="str">
        <f>IF(OR(TRIM(E419)="", TRIM(H419)=""), "", IFERROR(IF(OR(VLOOKUP(E419&amp;"|"&amp;H419&amp;"", DB!$A:$N, 6, FALSE)="", VLOOKUP(E419&amp;"|"&amp;H419&amp;"", DB!$A:$N, 6, FALSE)="-"), "", VLOOKUP(E419&amp;"|"&amp;H419&amp;"", DB!$A:$N, 6, FALSE)), ""))</f>
        <v/>
      </c>
      <c r="K419" s="35"/>
      <c r="L419" s="35"/>
      <c r="M419" s="35"/>
      <c r="N419" s="35" t="str">
        <f t="shared" si="6"/>
        <v/>
      </c>
      <c r="O419" s="34"/>
      <c r="P419" s="34"/>
      <c r="Q419" s="34"/>
      <c r="R419" s="34"/>
      <c r="S419" s="34"/>
      <c r="T419" s="34"/>
      <c r="U419" s="34"/>
      <c r="V419" s="34"/>
    </row>
    <row r="420" spans="1:22">
      <c r="A420" s="35"/>
      <c r="B420" s="3"/>
      <c r="C420" s="35"/>
      <c r="D420" s="34"/>
      <c r="E420" s="34"/>
      <c r="F420" s="35"/>
      <c r="G420" s="35"/>
      <c r="H420" s="3"/>
      <c r="I420" s="35"/>
      <c r="J420" s="35" t="str">
        <f>IF(OR(TRIM(E420)="", TRIM(H420)=""), "", IFERROR(IF(OR(VLOOKUP(E420&amp;"|"&amp;H420&amp;"", DB!$A:$N, 6, FALSE)="", VLOOKUP(E420&amp;"|"&amp;H420&amp;"", DB!$A:$N, 6, FALSE)="-"), "", VLOOKUP(E420&amp;"|"&amp;H420&amp;"", DB!$A:$N, 6, FALSE)), ""))</f>
        <v/>
      </c>
      <c r="K420" s="35"/>
      <c r="L420" s="35"/>
      <c r="M420" s="35"/>
      <c r="N420" s="35" t="str">
        <f t="shared" si="6"/>
        <v/>
      </c>
      <c r="O420" s="34"/>
      <c r="P420" s="34"/>
      <c r="Q420" s="34"/>
      <c r="R420" s="34"/>
      <c r="S420" s="34"/>
      <c r="T420" s="34"/>
      <c r="U420" s="34"/>
      <c r="V420" s="34"/>
    </row>
    <row r="421" spans="1:22">
      <c r="A421" s="35"/>
      <c r="B421" s="3"/>
      <c r="C421" s="35"/>
      <c r="D421" s="34"/>
      <c r="E421" s="34"/>
      <c r="F421" s="35"/>
      <c r="G421" s="35"/>
      <c r="H421" s="3"/>
      <c r="I421" s="35"/>
      <c r="J421" s="35" t="str">
        <f>IF(OR(TRIM(E421)="", TRIM(H421)=""), "", IFERROR(IF(OR(VLOOKUP(E421&amp;"|"&amp;H421&amp;"", DB!$A:$N, 6, FALSE)="", VLOOKUP(E421&amp;"|"&amp;H421&amp;"", DB!$A:$N, 6, FALSE)="-"), "", VLOOKUP(E421&amp;"|"&amp;H421&amp;"", DB!$A:$N, 6, FALSE)), ""))</f>
        <v/>
      </c>
      <c r="K421" s="35"/>
      <c r="L421" s="35"/>
      <c r="M421" s="35"/>
      <c r="N421" s="35" t="str">
        <f t="shared" si="6"/>
        <v/>
      </c>
      <c r="O421" s="34"/>
      <c r="P421" s="34"/>
      <c r="Q421" s="34"/>
      <c r="R421" s="34"/>
      <c r="S421" s="34"/>
      <c r="T421" s="34"/>
      <c r="U421" s="34"/>
      <c r="V421" s="34"/>
    </row>
    <row r="422" spans="1:22">
      <c r="A422" s="35"/>
      <c r="B422" s="3"/>
      <c r="C422" s="35"/>
      <c r="D422" s="34"/>
      <c r="E422" s="34"/>
      <c r="F422" s="35"/>
      <c r="G422" s="35"/>
      <c r="H422" s="3"/>
      <c r="I422" s="35"/>
      <c r="J422" s="35" t="str">
        <f>IF(OR(TRIM(E422)="", TRIM(H422)=""), "", IFERROR(IF(OR(VLOOKUP(E422&amp;"|"&amp;H422&amp;"", DB!$A:$N, 6, FALSE)="", VLOOKUP(E422&amp;"|"&amp;H422&amp;"", DB!$A:$N, 6, FALSE)="-"), "", VLOOKUP(E422&amp;"|"&amp;H422&amp;"", DB!$A:$N, 6, FALSE)), ""))</f>
        <v/>
      </c>
      <c r="K422" s="35"/>
      <c r="L422" s="35"/>
      <c r="M422" s="35"/>
      <c r="N422" s="35" t="str">
        <f t="shared" si="6"/>
        <v/>
      </c>
      <c r="O422" s="34"/>
      <c r="P422" s="34"/>
      <c r="Q422" s="34"/>
      <c r="R422" s="34"/>
      <c r="S422" s="34"/>
      <c r="T422" s="34"/>
      <c r="U422" s="34"/>
      <c r="V422" s="34"/>
    </row>
    <row r="423" spans="1:22">
      <c r="A423" s="35"/>
      <c r="B423" s="3"/>
      <c r="C423" s="35"/>
      <c r="D423" s="34"/>
      <c r="E423" s="34"/>
      <c r="F423" s="35"/>
      <c r="G423" s="35"/>
      <c r="H423" s="3"/>
      <c r="I423" s="35"/>
      <c r="J423" s="35" t="str">
        <f>IF(OR(TRIM(E423)="", TRIM(H423)=""), "", IFERROR(IF(OR(VLOOKUP(E423&amp;"|"&amp;H423&amp;"", DB!$A:$N, 6, FALSE)="", VLOOKUP(E423&amp;"|"&amp;H423&amp;"", DB!$A:$N, 6, FALSE)="-"), "", VLOOKUP(E423&amp;"|"&amp;H423&amp;"", DB!$A:$N, 6, FALSE)), ""))</f>
        <v/>
      </c>
      <c r="K423" s="35"/>
      <c r="L423" s="35"/>
      <c r="M423" s="35"/>
      <c r="N423" s="35" t="str">
        <f t="shared" si="6"/>
        <v/>
      </c>
      <c r="O423" s="34"/>
      <c r="P423" s="34"/>
      <c r="Q423" s="34"/>
      <c r="R423" s="34"/>
      <c r="S423" s="34"/>
      <c r="T423" s="34"/>
      <c r="U423" s="34"/>
      <c r="V423" s="34"/>
    </row>
    <row r="424" spans="1:22">
      <c r="A424" s="35"/>
      <c r="B424" s="3"/>
      <c r="C424" s="35"/>
      <c r="D424" s="34"/>
      <c r="E424" s="34"/>
      <c r="F424" s="35"/>
      <c r="G424" s="35"/>
      <c r="H424" s="3"/>
      <c r="I424" s="35"/>
      <c r="J424" s="35" t="str">
        <f>IF(OR(TRIM(E424)="", TRIM(H424)=""), "", IFERROR(IF(OR(VLOOKUP(E424&amp;"|"&amp;H424&amp;"", DB!$A:$N, 6, FALSE)="", VLOOKUP(E424&amp;"|"&amp;H424&amp;"", DB!$A:$N, 6, FALSE)="-"), "", VLOOKUP(E424&amp;"|"&amp;H424&amp;"", DB!$A:$N, 6, FALSE)), ""))</f>
        <v/>
      </c>
      <c r="K424" s="35"/>
      <c r="L424" s="35"/>
      <c r="M424" s="35"/>
      <c r="N424" s="35" t="str">
        <f t="shared" si="6"/>
        <v/>
      </c>
      <c r="O424" s="34"/>
      <c r="P424" s="34"/>
      <c r="Q424" s="34"/>
      <c r="R424" s="34"/>
      <c r="S424" s="34"/>
      <c r="T424" s="34"/>
      <c r="U424" s="34"/>
      <c r="V424" s="34"/>
    </row>
    <row r="425" spans="1:22">
      <c r="A425" s="35"/>
      <c r="B425" s="3"/>
      <c r="C425" s="35"/>
      <c r="D425" s="34"/>
      <c r="E425" s="34"/>
      <c r="F425" s="35"/>
      <c r="G425" s="35"/>
      <c r="H425" s="3"/>
      <c r="I425" s="35"/>
      <c r="J425" s="35" t="str">
        <f>IF(OR(TRIM(E425)="", TRIM(H425)=""), "", IFERROR(IF(OR(VLOOKUP(E425&amp;"|"&amp;H425&amp;"", DB!$A:$N, 6, FALSE)="", VLOOKUP(E425&amp;"|"&amp;H425&amp;"", DB!$A:$N, 6, FALSE)="-"), "", VLOOKUP(E425&amp;"|"&amp;H425&amp;"", DB!$A:$N, 6, FALSE)), ""))</f>
        <v/>
      </c>
      <c r="K425" s="35"/>
      <c r="L425" s="35"/>
      <c r="M425" s="35"/>
      <c r="N425" s="35" t="str">
        <f t="shared" si="6"/>
        <v/>
      </c>
      <c r="O425" s="34"/>
      <c r="P425" s="34"/>
      <c r="Q425" s="34"/>
      <c r="R425" s="34"/>
      <c r="S425" s="34"/>
      <c r="T425" s="34"/>
      <c r="U425" s="34"/>
      <c r="V425" s="34"/>
    </row>
    <row r="426" spans="1:22">
      <c r="A426" s="35"/>
      <c r="B426" s="3"/>
      <c r="C426" s="35"/>
      <c r="D426" s="34"/>
      <c r="E426" s="34"/>
      <c r="F426" s="35"/>
      <c r="G426" s="35"/>
      <c r="H426" s="3"/>
      <c r="I426" s="35"/>
      <c r="J426" s="35" t="str">
        <f>IF(OR(TRIM(E426)="", TRIM(H426)=""), "", IFERROR(IF(OR(VLOOKUP(E426&amp;"|"&amp;H426&amp;"", DB!$A:$N, 6, FALSE)="", VLOOKUP(E426&amp;"|"&amp;H426&amp;"", DB!$A:$N, 6, FALSE)="-"), "", VLOOKUP(E426&amp;"|"&amp;H426&amp;"", DB!$A:$N, 6, FALSE)), ""))</f>
        <v/>
      </c>
      <c r="K426" s="35"/>
      <c r="L426" s="35"/>
      <c r="M426" s="35"/>
      <c r="N426" s="35" t="str">
        <f t="shared" si="6"/>
        <v/>
      </c>
      <c r="O426" s="34"/>
      <c r="P426" s="34"/>
      <c r="Q426" s="34"/>
      <c r="R426" s="34"/>
      <c r="S426" s="34"/>
      <c r="T426" s="34"/>
      <c r="U426" s="34"/>
      <c r="V426" s="34"/>
    </row>
    <row r="427" spans="1:22">
      <c r="A427" s="35"/>
      <c r="B427" s="3"/>
      <c r="C427" s="35"/>
      <c r="D427" s="34"/>
      <c r="E427" s="34"/>
      <c r="F427" s="35"/>
      <c r="G427" s="35"/>
      <c r="H427" s="3"/>
      <c r="I427" s="35"/>
      <c r="J427" s="35" t="str">
        <f>IF(OR(TRIM(E427)="", TRIM(H427)=""), "", IFERROR(IF(OR(VLOOKUP(E427&amp;"|"&amp;H427&amp;"", DB!$A:$N, 6, FALSE)="", VLOOKUP(E427&amp;"|"&amp;H427&amp;"", DB!$A:$N, 6, FALSE)="-"), "", VLOOKUP(E427&amp;"|"&amp;H427&amp;"", DB!$A:$N, 6, FALSE)), ""))</f>
        <v/>
      </c>
      <c r="K427" s="35"/>
      <c r="L427" s="35"/>
      <c r="M427" s="35"/>
      <c r="N427" s="35" t="str">
        <f t="shared" si="6"/>
        <v/>
      </c>
      <c r="O427" s="34"/>
      <c r="P427" s="34"/>
      <c r="Q427" s="34"/>
      <c r="R427" s="34"/>
      <c r="S427" s="34"/>
      <c r="T427" s="34"/>
      <c r="U427" s="34"/>
      <c r="V427" s="34"/>
    </row>
    <row r="428" spans="1:22">
      <c r="A428" s="35"/>
      <c r="B428" s="3"/>
      <c r="C428" s="35"/>
      <c r="D428" s="34"/>
      <c r="E428" s="34"/>
      <c r="F428" s="35"/>
      <c r="G428" s="35"/>
      <c r="H428" s="3"/>
      <c r="I428" s="35"/>
      <c r="J428" s="35" t="str">
        <f>IF(OR(TRIM(E428)="", TRIM(H428)=""), "", IFERROR(IF(OR(VLOOKUP(E428&amp;"|"&amp;H428&amp;"", DB!$A:$N, 6, FALSE)="", VLOOKUP(E428&amp;"|"&amp;H428&amp;"", DB!$A:$N, 6, FALSE)="-"), "", VLOOKUP(E428&amp;"|"&amp;H428&amp;"", DB!$A:$N, 6, FALSE)), ""))</f>
        <v/>
      </c>
      <c r="K428" s="35"/>
      <c r="L428" s="35"/>
      <c r="M428" s="35"/>
      <c r="N428" s="35" t="str">
        <f t="shared" si="6"/>
        <v/>
      </c>
      <c r="O428" s="34"/>
      <c r="P428" s="34"/>
      <c r="Q428" s="34"/>
      <c r="R428" s="34"/>
      <c r="S428" s="34"/>
      <c r="T428" s="34"/>
      <c r="U428" s="34"/>
      <c r="V428" s="34"/>
    </row>
    <row r="429" spans="1:22">
      <c r="A429" s="35"/>
      <c r="B429" s="3"/>
      <c r="C429" s="35"/>
      <c r="D429" s="34"/>
      <c r="E429" s="34"/>
      <c r="F429" s="35"/>
      <c r="G429" s="35"/>
      <c r="H429" s="3"/>
      <c r="I429" s="35"/>
      <c r="J429" s="35" t="str">
        <f>IF(OR(TRIM(E429)="", TRIM(H429)=""), "", IFERROR(IF(OR(VLOOKUP(E429&amp;"|"&amp;H429&amp;"", DB!$A:$N, 6, FALSE)="", VLOOKUP(E429&amp;"|"&amp;H429&amp;"", DB!$A:$N, 6, FALSE)="-"), "", VLOOKUP(E429&amp;"|"&amp;H429&amp;"", DB!$A:$N, 6, FALSE)), ""))</f>
        <v/>
      </c>
      <c r="K429" s="35"/>
      <c r="L429" s="35"/>
      <c r="M429" s="35"/>
      <c r="N429" s="35" t="str">
        <f t="shared" si="6"/>
        <v/>
      </c>
      <c r="O429" s="34"/>
      <c r="P429" s="34"/>
      <c r="Q429" s="34"/>
      <c r="R429" s="34"/>
      <c r="S429" s="34"/>
      <c r="T429" s="34"/>
      <c r="U429" s="34"/>
      <c r="V429" s="34"/>
    </row>
    <row r="430" spans="1:22">
      <c r="A430" s="35"/>
      <c r="B430" s="3"/>
      <c r="C430" s="35"/>
      <c r="D430" s="34"/>
      <c r="E430" s="34"/>
      <c r="F430" s="35"/>
      <c r="G430" s="35"/>
      <c r="H430" s="3"/>
      <c r="I430" s="35"/>
      <c r="J430" s="35" t="str">
        <f>IF(OR(TRIM(E430)="", TRIM(H430)=""), "", IFERROR(IF(OR(VLOOKUP(E430&amp;"|"&amp;H430&amp;"", DB!$A:$N, 6, FALSE)="", VLOOKUP(E430&amp;"|"&amp;H430&amp;"", DB!$A:$N, 6, FALSE)="-"), "", VLOOKUP(E430&amp;"|"&amp;H430&amp;"", DB!$A:$N, 6, FALSE)), ""))</f>
        <v/>
      </c>
      <c r="K430" s="35"/>
      <c r="L430" s="35"/>
      <c r="M430" s="35"/>
      <c r="N430" s="35" t="str">
        <f t="shared" si="6"/>
        <v/>
      </c>
      <c r="O430" s="34"/>
      <c r="P430" s="34"/>
      <c r="Q430" s="34"/>
      <c r="R430" s="34"/>
      <c r="S430" s="34"/>
      <c r="T430" s="34"/>
      <c r="U430" s="34"/>
      <c r="V430" s="34"/>
    </row>
    <row r="431" spans="1:22">
      <c r="A431" s="35"/>
      <c r="B431" s="3"/>
      <c r="C431" s="35"/>
      <c r="D431" s="34"/>
      <c r="E431" s="34"/>
      <c r="F431" s="35"/>
      <c r="G431" s="35"/>
      <c r="H431" s="3"/>
      <c r="I431" s="35"/>
      <c r="J431" s="35" t="str">
        <f>IF(OR(TRIM(E431)="", TRIM(H431)=""), "", IFERROR(IF(OR(VLOOKUP(E431&amp;"|"&amp;H431&amp;"", DB!$A:$N, 6, FALSE)="", VLOOKUP(E431&amp;"|"&amp;H431&amp;"", DB!$A:$N, 6, FALSE)="-"), "", VLOOKUP(E431&amp;"|"&amp;H431&amp;"", DB!$A:$N, 6, FALSE)), ""))</f>
        <v/>
      </c>
      <c r="K431" s="35"/>
      <c r="L431" s="35"/>
      <c r="M431" s="35"/>
      <c r="N431" s="35" t="str">
        <f t="shared" si="6"/>
        <v/>
      </c>
      <c r="O431" s="34"/>
      <c r="P431" s="34"/>
      <c r="Q431" s="34"/>
      <c r="R431" s="34"/>
      <c r="S431" s="34"/>
      <c r="T431" s="34"/>
      <c r="U431" s="34"/>
      <c r="V431" s="34"/>
    </row>
    <row r="432" spans="1:22">
      <c r="A432" s="35"/>
      <c r="B432" s="3"/>
      <c r="C432" s="35"/>
      <c r="D432" s="34"/>
      <c r="E432" s="34"/>
      <c r="F432" s="35"/>
      <c r="G432" s="35"/>
      <c r="H432" s="3"/>
      <c r="I432" s="35"/>
      <c r="J432" s="35" t="str">
        <f>IF(OR(TRIM(E432)="", TRIM(H432)=""), "", IFERROR(IF(OR(VLOOKUP(E432&amp;"|"&amp;H432&amp;"", DB!$A:$N, 6, FALSE)="", VLOOKUP(E432&amp;"|"&amp;H432&amp;"", DB!$A:$N, 6, FALSE)="-"), "", VLOOKUP(E432&amp;"|"&amp;H432&amp;"", DB!$A:$N, 6, FALSE)), ""))</f>
        <v/>
      </c>
      <c r="K432" s="35"/>
      <c r="L432" s="35"/>
      <c r="M432" s="35"/>
      <c r="N432" s="35" t="str">
        <f t="shared" si="6"/>
        <v/>
      </c>
      <c r="O432" s="34"/>
      <c r="P432" s="34"/>
      <c r="Q432" s="34"/>
      <c r="R432" s="34"/>
      <c r="S432" s="34"/>
      <c r="T432" s="34"/>
      <c r="U432" s="34"/>
      <c r="V432" s="34"/>
    </row>
    <row r="433" spans="1:22">
      <c r="A433" s="35"/>
      <c r="B433" s="3"/>
      <c r="C433" s="35"/>
      <c r="D433" s="34"/>
      <c r="E433" s="34"/>
      <c r="F433" s="35"/>
      <c r="G433" s="35"/>
      <c r="H433" s="3"/>
      <c r="I433" s="35"/>
      <c r="J433" s="35" t="str">
        <f>IF(OR(TRIM(E433)="", TRIM(H433)=""), "", IFERROR(IF(OR(VLOOKUP(E433&amp;"|"&amp;H433&amp;"", DB!$A:$N, 6, FALSE)="", VLOOKUP(E433&amp;"|"&amp;H433&amp;"", DB!$A:$N, 6, FALSE)="-"), "", VLOOKUP(E433&amp;"|"&amp;H433&amp;"", DB!$A:$N, 6, FALSE)), ""))</f>
        <v/>
      </c>
      <c r="K433" s="35"/>
      <c r="L433" s="35"/>
      <c r="M433" s="35"/>
      <c r="N433" s="35" t="str">
        <f t="shared" si="6"/>
        <v/>
      </c>
      <c r="O433" s="34"/>
      <c r="P433" s="34"/>
      <c r="Q433" s="34"/>
      <c r="R433" s="34"/>
      <c r="S433" s="34"/>
      <c r="T433" s="34"/>
      <c r="U433" s="34"/>
      <c r="V433" s="34"/>
    </row>
    <row r="434" spans="1:22">
      <c r="A434" s="35"/>
      <c r="B434" s="3"/>
      <c r="C434" s="35"/>
      <c r="D434" s="34"/>
      <c r="E434" s="34"/>
      <c r="F434" s="35"/>
      <c r="G434" s="35"/>
      <c r="H434" s="3"/>
      <c r="I434" s="35"/>
      <c r="J434" s="35" t="str">
        <f>IF(OR(TRIM(E434)="", TRIM(H434)=""), "", IFERROR(IF(OR(VLOOKUP(E434&amp;"|"&amp;H434&amp;"", DB!$A:$N, 6, FALSE)="", VLOOKUP(E434&amp;"|"&amp;H434&amp;"", DB!$A:$N, 6, FALSE)="-"), "", VLOOKUP(E434&amp;"|"&amp;H434&amp;"", DB!$A:$N, 6, FALSE)), ""))</f>
        <v/>
      </c>
      <c r="K434" s="35"/>
      <c r="L434" s="35"/>
      <c r="M434" s="35"/>
      <c r="N434" s="35" t="str">
        <f t="shared" si="6"/>
        <v/>
      </c>
      <c r="O434" s="34"/>
      <c r="P434" s="34"/>
      <c r="Q434" s="34"/>
      <c r="R434" s="34"/>
      <c r="S434" s="34"/>
      <c r="T434" s="34"/>
      <c r="U434" s="34"/>
      <c r="V434" s="34"/>
    </row>
    <row r="435" spans="1:22">
      <c r="A435" s="35"/>
      <c r="B435" s="3"/>
      <c r="C435" s="35"/>
      <c r="D435" s="34"/>
      <c r="E435" s="34"/>
      <c r="F435" s="35"/>
      <c r="G435" s="35"/>
      <c r="H435" s="3"/>
      <c r="I435" s="35"/>
      <c r="J435" s="35" t="str">
        <f>IF(OR(TRIM(E435)="", TRIM(H435)=""), "", IFERROR(IF(OR(VLOOKUP(E435&amp;"|"&amp;H435&amp;"", DB!$A:$N, 6, FALSE)="", VLOOKUP(E435&amp;"|"&amp;H435&amp;"", DB!$A:$N, 6, FALSE)="-"), "", VLOOKUP(E435&amp;"|"&amp;H435&amp;"", DB!$A:$N, 6, FALSE)), ""))</f>
        <v/>
      </c>
      <c r="K435" s="35"/>
      <c r="L435" s="35"/>
      <c r="M435" s="35"/>
      <c r="N435" s="35" t="str">
        <f t="shared" si="6"/>
        <v/>
      </c>
      <c r="O435" s="34"/>
      <c r="P435" s="34"/>
      <c r="Q435" s="34"/>
      <c r="R435" s="34"/>
      <c r="S435" s="34"/>
      <c r="T435" s="34"/>
      <c r="U435" s="34"/>
      <c r="V435" s="34"/>
    </row>
    <row r="436" spans="1:22">
      <c r="A436" s="35"/>
      <c r="B436" s="3"/>
      <c r="C436" s="35"/>
      <c r="D436" s="34"/>
      <c r="E436" s="34"/>
      <c r="F436" s="35"/>
      <c r="G436" s="35"/>
      <c r="H436" s="3"/>
      <c r="I436" s="35"/>
      <c r="J436" s="35" t="str">
        <f>IF(OR(TRIM(E436)="", TRIM(H436)=""), "", IFERROR(IF(OR(VLOOKUP(E436&amp;"|"&amp;H436&amp;"", DB!$A:$N, 6, FALSE)="", VLOOKUP(E436&amp;"|"&amp;H436&amp;"", DB!$A:$N, 6, FALSE)="-"), "", VLOOKUP(E436&amp;"|"&amp;H436&amp;"", DB!$A:$N, 6, FALSE)), ""))</f>
        <v/>
      </c>
      <c r="K436" s="35"/>
      <c r="L436" s="35"/>
      <c r="M436" s="35"/>
      <c r="N436" s="35" t="str">
        <f t="shared" si="6"/>
        <v/>
      </c>
      <c r="O436" s="34"/>
      <c r="P436" s="34"/>
      <c r="Q436" s="34"/>
      <c r="R436" s="34"/>
      <c r="S436" s="34"/>
      <c r="T436" s="34"/>
      <c r="U436" s="34"/>
      <c r="V436" s="34"/>
    </row>
    <row r="437" spans="1:22">
      <c r="A437" s="35"/>
      <c r="B437" s="3"/>
      <c r="C437" s="35"/>
      <c r="D437" s="34"/>
      <c r="E437" s="34"/>
      <c r="F437" s="35"/>
      <c r="G437" s="35"/>
      <c r="H437" s="3"/>
      <c r="I437" s="35"/>
      <c r="J437" s="35" t="str">
        <f>IF(OR(TRIM(E437)="", TRIM(H437)=""), "", IFERROR(IF(OR(VLOOKUP(E437&amp;"|"&amp;H437&amp;"", DB!$A:$N, 6, FALSE)="", VLOOKUP(E437&amp;"|"&amp;H437&amp;"", DB!$A:$N, 6, FALSE)="-"), "", VLOOKUP(E437&amp;"|"&amp;H437&amp;"", DB!$A:$N, 6, FALSE)), ""))</f>
        <v/>
      </c>
      <c r="K437" s="35"/>
      <c r="L437" s="35"/>
      <c r="M437" s="35"/>
      <c r="N437" s="35" t="str">
        <f t="shared" si="6"/>
        <v/>
      </c>
      <c r="O437" s="34"/>
      <c r="P437" s="34"/>
      <c r="Q437" s="34"/>
      <c r="R437" s="34"/>
      <c r="S437" s="34"/>
      <c r="T437" s="34"/>
      <c r="U437" s="34"/>
      <c r="V437" s="34"/>
    </row>
    <row r="438" spans="1:22">
      <c r="A438" s="35"/>
      <c r="B438" s="3"/>
      <c r="C438" s="35"/>
      <c r="D438" s="34"/>
      <c r="E438" s="34"/>
      <c r="F438" s="35"/>
      <c r="G438" s="35"/>
      <c r="H438" s="3"/>
      <c r="I438" s="35"/>
      <c r="J438" s="35" t="str">
        <f>IF(OR(TRIM(E438)="", TRIM(H438)=""), "", IFERROR(IF(OR(VLOOKUP(E438&amp;"|"&amp;H438&amp;"", DB!$A:$N, 6, FALSE)="", VLOOKUP(E438&amp;"|"&amp;H438&amp;"", DB!$A:$N, 6, FALSE)="-"), "", VLOOKUP(E438&amp;"|"&amp;H438&amp;"", DB!$A:$N, 6, FALSE)), ""))</f>
        <v/>
      </c>
      <c r="K438" s="35"/>
      <c r="L438" s="35"/>
      <c r="M438" s="35"/>
      <c r="N438" s="35" t="str">
        <f t="shared" si="6"/>
        <v/>
      </c>
      <c r="O438" s="34"/>
      <c r="P438" s="34"/>
      <c r="Q438" s="34"/>
      <c r="R438" s="34"/>
      <c r="S438" s="34"/>
      <c r="T438" s="34"/>
      <c r="U438" s="34"/>
      <c r="V438" s="34"/>
    </row>
    <row r="439" spans="1:22">
      <c r="A439" s="35"/>
      <c r="B439" s="3"/>
      <c r="C439" s="35"/>
      <c r="D439" s="34"/>
      <c r="E439" s="34"/>
      <c r="F439" s="35"/>
      <c r="G439" s="35"/>
      <c r="H439" s="3"/>
      <c r="I439" s="35"/>
      <c r="J439" s="35" t="str">
        <f>IF(OR(TRIM(E439)="", TRIM(H439)=""), "", IFERROR(IF(OR(VLOOKUP(E439&amp;"|"&amp;H439&amp;"", DB!$A:$N, 6, FALSE)="", VLOOKUP(E439&amp;"|"&amp;H439&amp;"", DB!$A:$N, 6, FALSE)="-"), "", VLOOKUP(E439&amp;"|"&amp;H439&amp;"", DB!$A:$N, 6, FALSE)), ""))</f>
        <v/>
      </c>
      <c r="K439" s="35"/>
      <c r="L439" s="35"/>
      <c r="M439" s="35"/>
      <c r="N439" s="35" t="str">
        <f t="shared" si="6"/>
        <v/>
      </c>
      <c r="O439" s="34"/>
      <c r="P439" s="34"/>
      <c r="Q439" s="34"/>
      <c r="R439" s="34"/>
      <c r="S439" s="34"/>
      <c r="T439" s="34"/>
      <c r="U439" s="34"/>
      <c r="V439" s="34"/>
    </row>
    <row r="440" spans="1:22">
      <c r="A440" s="35"/>
      <c r="B440" s="3"/>
      <c r="C440" s="35"/>
      <c r="D440" s="34"/>
      <c r="E440" s="34"/>
      <c r="F440" s="35"/>
      <c r="G440" s="35"/>
      <c r="H440" s="3"/>
      <c r="I440" s="35"/>
      <c r="J440" s="35" t="str">
        <f>IF(OR(TRIM(E440)="", TRIM(H440)=""), "", IFERROR(IF(OR(VLOOKUP(E440&amp;"|"&amp;H440&amp;"", DB!$A:$N, 6, FALSE)="", VLOOKUP(E440&amp;"|"&amp;H440&amp;"", DB!$A:$N, 6, FALSE)="-"), "", VLOOKUP(E440&amp;"|"&amp;H440&amp;"", DB!$A:$N, 6, FALSE)), ""))</f>
        <v/>
      </c>
      <c r="K440" s="35"/>
      <c r="L440" s="35"/>
      <c r="M440" s="35"/>
      <c r="N440" s="35" t="str">
        <f t="shared" si="6"/>
        <v/>
      </c>
      <c r="O440" s="34"/>
      <c r="P440" s="34"/>
      <c r="Q440" s="34"/>
      <c r="R440" s="34"/>
      <c r="S440" s="34"/>
      <c r="T440" s="34"/>
      <c r="U440" s="34"/>
      <c r="V440" s="34"/>
    </row>
    <row r="441" spans="1:22">
      <c r="A441" s="35"/>
      <c r="B441" s="3"/>
      <c r="C441" s="35"/>
      <c r="D441" s="34"/>
      <c r="E441" s="34"/>
      <c r="F441" s="35"/>
      <c r="G441" s="35"/>
      <c r="H441" s="3"/>
      <c r="I441" s="35"/>
      <c r="J441" s="35" t="str">
        <f>IF(OR(TRIM(E441)="", TRIM(H441)=""), "", IFERROR(IF(OR(VLOOKUP(E441&amp;"|"&amp;H441&amp;"", DB!$A:$N, 6, FALSE)="", VLOOKUP(E441&amp;"|"&amp;H441&amp;"", DB!$A:$N, 6, FALSE)="-"), "", VLOOKUP(E441&amp;"|"&amp;H441&amp;"", DB!$A:$N, 6, FALSE)), ""))</f>
        <v/>
      </c>
      <c r="K441" s="35"/>
      <c r="L441" s="35"/>
      <c r="M441" s="35"/>
      <c r="N441" s="35" t="str">
        <f t="shared" si="6"/>
        <v/>
      </c>
      <c r="O441" s="34"/>
      <c r="P441" s="34"/>
      <c r="Q441" s="34"/>
      <c r="R441" s="34"/>
      <c r="S441" s="34"/>
      <c r="T441" s="34"/>
      <c r="U441" s="34"/>
      <c r="V441" s="34"/>
    </row>
    <row r="442" spans="1:22">
      <c r="A442" s="35"/>
      <c r="B442" s="3"/>
      <c r="C442" s="35"/>
      <c r="D442" s="34"/>
      <c r="E442" s="34"/>
      <c r="F442" s="35"/>
      <c r="G442" s="35"/>
      <c r="H442" s="3"/>
      <c r="I442" s="35"/>
      <c r="J442" s="35" t="str">
        <f>IF(OR(TRIM(E442)="", TRIM(H442)=""), "", IFERROR(IF(OR(VLOOKUP(E442&amp;"|"&amp;H442&amp;"", DB!$A:$N, 6, FALSE)="", VLOOKUP(E442&amp;"|"&amp;H442&amp;"", DB!$A:$N, 6, FALSE)="-"), "", VLOOKUP(E442&amp;"|"&amp;H442&amp;"", DB!$A:$N, 6, FALSE)), ""))</f>
        <v/>
      </c>
      <c r="K442" s="35"/>
      <c r="L442" s="35"/>
      <c r="M442" s="35"/>
      <c r="N442" s="35" t="str">
        <f t="shared" si="6"/>
        <v/>
      </c>
      <c r="O442" s="34"/>
      <c r="P442" s="34"/>
      <c r="Q442" s="34"/>
      <c r="R442" s="34"/>
      <c r="S442" s="34"/>
      <c r="T442" s="34"/>
      <c r="U442" s="34"/>
      <c r="V442" s="34"/>
    </row>
    <row r="443" spans="1:22">
      <c r="A443" s="35"/>
      <c r="B443" s="3"/>
      <c r="C443" s="35"/>
      <c r="D443" s="34"/>
      <c r="E443" s="34"/>
      <c r="F443" s="35"/>
      <c r="G443" s="35"/>
      <c r="H443" s="3"/>
      <c r="I443" s="35"/>
      <c r="J443" s="35" t="str">
        <f>IF(OR(TRIM(E443)="", TRIM(H443)=""), "", IFERROR(IF(OR(VLOOKUP(E443&amp;"|"&amp;H443&amp;"", DB!$A:$N, 6, FALSE)="", VLOOKUP(E443&amp;"|"&amp;H443&amp;"", DB!$A:$N, 6, FALSE)="-"), "", VLOOKUP(E443&amp;"|"&amp;H443&amp;"", DB!$A:$N, 6, FALSE)), ""))</f>
        <v/>
      </c>
      <c r="K443" s="35"/>
      <c r="L443" s="35"/>
      <c r="M443" s="35"/>
      <c r="N443" s="35" t="str">
        <f t="shared" si="6"/>
        <v/>
      </c>
      <c r="O443" s="34"/>
      <c r="P443" s="34"/>
      <c r="Q443" s="34"/>
      <c r="R443" s="34"/>
      <c r="S443" s="34"/>
      <c r="T443" s="34"/>
      <c r="U443" s="34"/>
      <c r="V443" s="34"/>
    </row>
    <row r="444" spans="1:22">
      <c r="A444" s="35"/>
      <c r="B444" s="3"/>
      <c r="C444" s="35"/>
      <c r="D444" s="34"/>
      <c r="E444" s="34"/>
      <c r="F444" s="35"/>
      <c r="G444" s="35"/>
      <c r="H444" s="3"/>
      <c r="I444" s="35"/>
      <c r="J444" s="35" t="str">
        <f>IF(OR(TRIM(E444)="", TRIM(H444)=""), "", IFERROR(IF(OR(VLOOKUP(E444&amp;"|"&amp;H444&amp;"", DB!$A:$N, 6, FALSE)="", VLOOKUP(E444&amp;"|"&amp;H444&amp;"", DB!$A:$N, 6, FALSE)="-"), "", VLOOKUP(E444&amp;"|"&amp;H444&amp;"", DB!$A:$N, 6, FALSE)), ""))</f>
        <v/>
      </c>
      <c r="K444" s="35"/>
      <c r="L444" s="35"/>
      <c r="M444" s="35"/>
      <c r="N444" s="35" t="str">
        <f t="shared" si="6"/>
        <v/>
      </c>
      <c r="O444" s="34"/>
      <c r="P444" s="34"/>
      <c r="Q444" s="34"/>
      <c r="R444" s="34"/>
      <c r="S444" s="34"/>
      <c r="T444" s="34"/>
      <c r="U444" s="34"/>
      <c r="V444" s="34"/>
    </row>
    <row r="445" spans="1:22">
      <c r="A445" s="35"/>
      <c r="B445" s="3"/>
      <c r="C445" s="35"/>
      <c r="D445" s="34"/>
      <c r="E445" s="34"/>
      <c r="F445" s="35"/>
      <c r="G445" s="35"/>
      <c r="H445" s="3"/>
      <c r="I445" s="35"/>
      <c r="J445" s="35" t="str">
        <f>IF(OR(TRIM(E445)="", TRIM(H445)=""), "", IFERROR(IF(OR(VLOOKUP(E445&amp;"|"&amp;H445&amp;"", DB!$A:$N, 6, FALSE)="", VLOOKUP(E445&amp;"|"&amp;H445&amp;"", DB!$A:$N, 6, FALSE)="-"), "", VLOOKUP(E445&amp;"|"&amp;H445&amp;"", DB!$A:$N, 6, FALSE)), ""))</f>
        <v/>
      </c>
      <c r="K445" s="35"/>
      <c r="L445" s="35"/>
      <c r="M445" s="35"/>
      <c r="N445" s="35" t="str">
        <f t="shared" si="6"/>
        <v/>
      </c>
      <c r="O445" s="34"/>
      <c r="P445" s="34"/>
      <c r="Q445" s="34"/>
      <c r="R445" s="34"/>
      <c r="S445" s="34"/>
      <c r="T445" s="34"/>
      <c r="U445" s="34"/>
      <c r="V445" s="34"/>
    </row>
    <row r="446" spans="1:22">
      <c r="A446" s="35"/>
      <c r="B446" s="3"/>
      <c r="C446" s="35"/>
      <c r="D446" s="34"/>
      <c r="E446" s="34"/>
      <c r="F446" s="35"/>
      <c r="G446" s="35"/>
      <c r="H446" s="3"/>
      <c r="I446" s="35"/>
      <c r="J446" s="35" t="str">
        <f>IF(OR(TRIM(E446)="", TRIM(H446)=""), "", IFERROR(IF(OR(VLOOKUP(E446&amp;"|"&amp;H446&amp;"", DB!$A:$N, 6, FALSE)="", VLOOKUP(E446&amp;"|"&amp;H446&amp;"", DB!$A:$N, 6, FALSE)="-"), "", VLOOKUP(E446&amp;"|"&amp;H446&amp;"", DB!$A:$N, 6, FALSE)), ""))</f>
        <v/>
      </c>
      <c r="K446" s="35"/>
      <c r="L446" s="35"/>
      <c r="M446" s="35"/>
      <c r="N446" s="35" t="str">
        <f t="shared" si="6"/>
        <v/>
      </c>
      <c r="O446" s="34"/>
      <c r="P446" s="34"/>
      <c r="Q446" s="34"/>
      <c r="R446" s="34"/>
      <c r="S446" s="34"/>
      <c r="T446" s="34"/>
      <c r="U446" s="34"/>
      <c r="V446" s="34"/>
    </row>
    <row r="447" spans="1:22">
      <c r="A447" s="35"/>
      <c r="B447" s="3"/>
      <c r="C447" s="35"/>
      <c r="D447" s="34"/>
      <c r="E447" s="34"/>
      <c r="F447" s="35"/>
      <c r="G447" s="35"/>
      <c r="H447" s="3"/>
      <c r="I447" s="35"/>
      <c r="J447" s="35" t="str">
        <f>IF(OR(TRIM(E447)="", TRIM(H447)=""), "", IFERROR(IF(OR(VLOOKUP(E447&amp;"|"&amp;H447&amp;"", DB!$A:$N, 6, FALSE)="", VLOOKUP(E447&amp;"|"&amp;H447&amp;"", DB!$A:$N, 6, FALSE)="-"), "", VLOOKUP(E447&amp;"|"&amp;H447&amp;"", DB!$A:$N, 6, FALSE)), ""))</f>
        <v/>
      </c>
      <c r="K447" s="35"/>
      <c r="L447" s="35"/>
      <c r="M447" s="35"/>
      <c r="N447" s="35" t="str">
        <f t="shared" si="6"/>
        <v/>
      </c>
      <c r="O447" s="34"/>
      <c r="P447" s="34"/>
      <c r="Q447" s="34"/>
      <c r="R447" s="34"/>
      <c r="S447" s="34"/>
      <c r="T447" s="34"/>
      <c r="U447" s="34"/>
      <c r="V447" s="34"/>
    </row>
    <row r="448" spans="1:22">
      <c r="A448" s="35"/>
      <c r="B448" s="3"/>
      <c r="C448" s="35"/>
      <c r="D448" s="34"/>
      <c r="E448" s="34"/>
      <c r="F448" s="35"/>
      <c r="G448" s="35"/>
      <c r="H448" s="3"/>
      <c r="I448" s="35"/>
      <c r="J448" s="35" t="str">
        <f>IF(OR(TRIM(E448)="", TRIM(H448)=""), "", IFERROR(IF(OR(VLOOKUP(E448&amp;"|"&amp;H448&amp;"", DB!$A:$N, 6, FALSE)="", VLOOKUP(E448&amp;"|"&amp;H448&amp;"", DB!$A:$N, 6, FALSE)="-"), "", VLOOKUP(E448&amp;"|"&amp;H448&amp;"", DB!$A:$N, 6, FALSE)), ""))</f>
        <v/>
      </c>
      <c r="K448" s="35"/>
      <c r="L448" s="35"/>
      <c r="M448" s="35"/>
      <c r="N448" s="35" t="str">
        <f t="shared" si="6"/>
        <v/>
      </c>
      <c r="O448" s="34"/>
      <c r="P448" s="34"/>
      <c r="Q448" s="34"/>
      <c r="R448" s="34"/>
      <c r="S448" s="34"/>
      <c r="T448" s="34"/>
      <c r="U448" s="34"/>
      <c r="V448" s="34"/>
    </row>
    <row r="449" spans="1:22">
      <c r="A449" s="35"/>
      <c r="B449" s="3"/>
      <c r="C449" s="35"/>
      <c r="D449" s="34"/>
      <c r="E449" s="34"/>
      <c r="F449" s="35"/>
      <c r="G449" s="35"/>
      <c r="H449" s="3"/>
      <c r="I449" s="35"/>
      <c r="J449" s="35" t="str">
        <f>IF(OR(TRIM(E449)="", TRIM(H449)=""), "", IFERROR(IF(OR(VLOOKUP(E449&amp;"|"&amp;H449&amp;"", DB!$A:$N, 6, FALSE)="", VLOOKUP(E449&amp;"|"&amp;H449&amp;"", DB!$A:$N, 6, FALSE)="-"), "", VLOOKUP(E449&amp;"|"&amp;H449&amp;"", DB!$A:$N, 6, FALSE)), ""))</f>
        <v/>
      </c>
      <c r="K449" s="35"/>
      <c r="L449" s="35"/>
      <c r="M449" s="35"/>
      <c r="N449" s="35" t="str">
        <f t="shared" si="6"/>
        <v/>
      </c>
      <c r="O449" s="34"/>
      <c r="P449" s="34"/>
      <c r="Q449" s="34"/>
      <c r="R449" s="34"/>
      <c r="S449" s="34"/>
      <c r="T449" s="34"/>
      <c r="U449" s="34"/>
      <c r="V449" s="34"/>
    </row>
    <row r="450" spans="1:22">
      <c r="A450" s="35"/>
      <c r="B450" s="3"/>
      <c r="C450" s="35"/>
      <c r="D450" s="34"/>
      <c r="E450" s="34"/>
      <c r="F450" s="35"/>
      <c r="G450" s="35"/>
      <c r="H450" s="3"/>
      <c r="I450" s="35"/>
      <c r="J450" s="35" t="str">
        <f>IF(OR(TRIM(E450)="", TRIM(H450)=""), "", IFERROR(IF(OR(VLOOKUP(E450&amp;"|"&amp;H450&amp;"", DB!$A:$N, 6, FALSE)="", VLOOKUP(E450&amp;"|"&amp;H450&amp;"", DB!$A:$N, 6, FALSE)="-"), "", VLOOKUP(E450&amp;"|"&amp;H450&amp;"", DB!$A:$N, 6, FALSE)), ""))</f>
        <v/>
      </c>
      <c r="K450" s="35"/>
      <c r="L450" s="35"/>
      <c r="M450" s="35"/>
      <c r="N450" s="35" t="str">
        <f t="shared" ref="N450:N513" si="7">IF(TRIM(D450)="", "", IF(N(L450)-N(M450)&lt;=0, "X", N(L450)-N(M450)))</f>
        <v/>
      </c>
      <c r="O450" s="34"/>
      <c r="P450" s="34"/>
      <c r="Q450" s="34"/>
      <c r="R450" s="34"/>
      <c r="S450" s="34"/>
      <c r="T450" s="34"/>
      <c r="U450" s="34"/>
      <c r="V450" s="34"/>
    </row>
    <row r="451" spans="1:22">
      <c r="A451" s="35"/>
      <c r="B451" s="3"/>
      <c r="C451" s="35"/>
      <c r="D451" s="34"/>
      <c r="E451" s="34"/>
      <c r="F451" s="35"/>
      <c r="G451" s="35"/>
      <c r="H451" s="3"/>
      <c r="I451" s="35"/>
      <c r="J451" s="35" t="str">
        <f>IF(OR(TRIM(E451)="", TRIM(H451)=""), "", IFERROR(IF(OR(VLOOKUP(E451&amp;"|"&amp;H451&amp;"", DB!$A:$N, 6, FALSE)="", VLOOKUP(E451&amp;"|"&amp;H451&amp;"", DB!$A:$N, 6, FALSE)="-"), "", VLOOKUP(E451&amp;"|"&amp;H451&amp;"", DB!$A:$N, 6, FALSE)), ""))</f>
        <v/>
      </c>
      <c r="K451" s="35"/>
      <c r="L451" s="35"/>
      <c r="M451" s="35"/>
      <c r="N451" s="35" t="str">
        <f t="shared" si="7"/>
        <v/>
      </c>
      <c r="O451" s="34"/>
      <c r="P451" s="34"/>
      <c r="Q451" s="34"/>
      <c r="R451" s="34"/>
      <c r="S451" s="34"/>
      <c r="T451" s="34"/>
      <c r="U451" s="34"/>
      <c r="V451" s="34"/>
    </row>
    <row r="452" spans="1:22">
      <c r="A452" s="35"/>
      <c r="B452" s="3"/>
      <c r="C452" s="35"/>
      <c r="D452" s="34"/>
      <c r="E452" s="34"/>
      <c r="F452" s="35"/>
      <c r="G452" s="35"/>
      <c r="H452" s="3"/>
      <c r="I452" s="35"/>
      <c r="J452" s="35" t="str">
        <f>IF(OR(TRIM(E452)="", TRIM(H452)=""), "", IFERROR(IF(OR(VLOOKUP(E452&amp;"|"&amp;H452&amp;"", DB!$A:$N, 6, FALSE)="", VLOOKUP(E452&amp;"|"&amp;H452&amp;"", DB!$A:$N, 6, FALSE)="-"), "", VLOOKUP(E452&amp;"|"&amp;H452&amp;"", DB!$A:$N, 6, FALSE)), ""))</f>
        <v/>
      </c>
      <c r="K452" s="35"/>
      <c r="L452" s="35"/>
      <c r="M452" s="35"/>
      <c r="N452" s="35" t="str">
        <f t="shared" si="7"/>
        <v/>
      </c>
      <c r="O452" s="34"/>
      <c r="P452" s="34"/>
      <c r="Q452" s="34"/>
      <c r="R452" s="34"/>
      <c r="S452" s="34"/>
      <c r="T452" s="34"/>
      <c r="U452" s="34"/>
      <c r="V452" s="34"/>
    </row>
    <row r="453" spans="1:22">
      <c r="A453" s="35"/>
      <c r="B453" s="3"/>
      <c r="C453" s="35"/>
      <c r="D453" s="34"/>
      <c r="E453" s="34"/>
      <c r="F453" s="35"/>
      <c r="G453" s="35"/>
      <c r="H453" s="3"/>
      <c r="I453" s="35"/>
      <c r="J453" s="35" t="str">
        <f>IF(OR(TRIM(E453)="", TRIM(H453)=""), "", IFERROR(IF(OR(VLOOKUP(E453&amp;"|"&amp;H453&amp;"", DB!$A:$N, 6, FALSE)="", VLOOKUP(E453&amp;"|"&amp;H453&amp;"", DB!$A:$N, 6, FALSE)="-"), "", VLOOKUP(E453&amp;"|"&amp;H453&amp;"", DB!$A:$N, 6, FALSE)), ""))</f>
        <v/>
      </c>
      <c r="K453" s="35"/>
      <c r="L453" s="35"/>
      <c r="M453" s="35"/>
      <c r="N453" s="35" t="str">
        <f t="shared" si="7"/>
        <v/>
      </c>
      <c r="O453" s="34"/>
      <c r="P453" s="34"/>
      <c r="Q453" s="34"/>
      <c r="R453" s="34"/>
      <c r="S453" s="34"/>
      <c r="T453" s="34"/>
      <c r="U453" s="34"/>
      <c r="V453" s="34"/>
    </row>
    <row r="454" spans="1:22">
      <c r="A454" s="35"/>
      <c r="B454" s="3"/>
      <c r="C454" s="35"/>
      <c r="D454" s="34"/>
      <c r="E454" s="34"/>
      <c r="F454" s="35"/>
      <c r="G454" s="35"/>
      <c r="H454" s="3"/>
      <c r="I454" s="35"/>
      <c r="J454" s="35" t="str">
        <f>IF(OR(TRIM(E454)="", TRIM(H454)=""), "", IFERROR(IF(OR(VLOOKUP(E454&amp;"|"&amp;H454&amp;"", DB!$A:$N, 6, FALSE)="", VLOOKUP(E454&amp;"|"&amp;H454&amp;"", DB!$A:$N, 6, FALSE)="-"), "", VLOOKUP(E454&amp;"|"&amp;H454&amp;"", DB!$A:$N, 6, FALSE)), ""))</f>
        <v/>
      </c>
      <c r="K454" s="35"/>
      <c r="L454" s="35"/>
      <c r="M454" s="35"/>
      <c r="N454" s="35" t="str">
        <f t="shared" si="7"/>
        <v/>
      </c>
      <c r="O454" s="34"/>
      <c r="P454" s="34"/>
      <c r="Q454" s="34"/>
      <c r="R454" s="34"/>
      <c r="S454" s="34"/>
      <c r="T454" s="34"/>
      <c r="U454" s="34"/>
      <c r="V454" s="34"/>
    </row>
    <row r="455" spans="1:22">
      <c r="A455" s="35"/>
      <c r="B455" s="3"/>
      <c r="C455" s="35"/>
      <c r="D455" s="34"/>
      <c r="E455" s="34"/>
      <c r="F455" s="35"/>
      <c r="G455" s="35"/>
      <c r="H455" s="3"/>
      <c r="I455" s="35"/>
      <c r="J455" s="35" t="str">
        <f>IF(OR(TRIM(E455)="", TRIM(H455)=""), "", IFERROR(IF(OR(VLOOKUP(E455&amp;"|"&amp;H455&amp;"", DB!$A:$N, 6, FALSE)="", VLOOKUP(E455&amp;"|"&amp;H455&amp;"", DB!$A:$N, 6, FALSE)="-"), "", VLOOKUP(E455&amp;"|"&amp;H455&amp;"", DB!$A:$N, 6, FALSE)), ""))</f>
        <v/>
      </c>
      <c r="K455" s="35"/>
      <c r="L455" s="35"/>
      <c r="M455" s="35"/>
      <c r="N455" s="35" t="str">
        <f t="shared" si="7"/>
        <v/>
      </c>
      <c r="O455" s="34"/>
      <c r="P455" s="34"/>
      <c r="Q455" s="34"/>
      <c r="R455" s="34"/>
      <c r="S455" s="34"/>
      <c r="T455" s="34"/>
      <c r="U455" s="34"/>
      <c r="V455" s="34"/>
    </row>
    <row r="456" spans="1:22">
      <c r="A456" s="35"/>
      <c r="B456" s="3"/>
      <c r="C456" s="35"/>
      <c r="D456" s="34"/>
      <c r="E456" s="34"/>
      <c r="F456" s="35"/>
      <c r="G456" s="35"/>
      <c r="H456" s="3"/>
      <c r="I456" s="35"/>
      <c r="J456" s="35" t="str">
        <f>IF(OR(TRIM(E456)="", TRIM(H456)=""), "", IFERROR(IF(OR(VLOOKUP(E456&amp;"|"&amp;H456&amp;"", DB!$A:$N, 6, FALSE)="", VLOOKUP(E456&amp;"|"&amp;H456&amp;"", DB!$A:$N, 6, FALSE)="-"), "", VLOOKUP(E456&amp;"|"&amp;H456&amp;"", DB!$A:$N, 6, FALSE)), ""))</f>
        <v/>
      </c>
      <c r="K456" s="35"/>
      <c r="L456" s="35"/>
      <c r="M456" s="35"/>
      <c r="N456" s="35" t="str">
        <f t="shared" si="7"/>
        <v/>
      </c>
      <c r="O456" s="34"/>
      <c r="P456" s="34"/>
      <c r="Q456" s="34"/>
      <c r="R456" s="34"/>
      <c r="S456" s="34"/>
      <c r="T456" s="34"/>
      <c r="U456" s="34"/>
      <c r="V456" s="34"/>
    </row>
    <row r="457" spans="1:22">
      <c r="A457" s="35"/>
      <c r="B457" s="3"/>
      <c r="C457" s="35"/>
      <c r="D457" s="34"/>
      <c r="E457" s="34"/>
      <c r="F457" s="35"/>
      <c r="G457" s="35"/>
      <c r="H457" s="3"/>
      <c r="I457" s="35"/>
      <c r="J457" s="35" t="str">
        <f>IF(OR(TRIM(E457)="", TRIM(H457)=""), "", IFERROR(IF(OR(VLOOKUP(E457&amp;"|"&amp;H457&amp;"", DB!$A:$N, 6, FALSE)="", VLOOKUP(E457&amp;"|"&amp;H457&amp;"", DB!$A:$N, 6, FALSE)="-"), "", VLOOKUP(E457&amp;"|"&amp;H457&amp;"", DB!$A:$N, 6, FALSE)), ""))</f>
        <v/>
      </c>
      <c r="K457" s="35"/>
      <c r="L457" s="35"/>
      <c r="M457" s="35"/>
      <c r="N457" s="35" t="str">
        <f t="shared" si="7"/>
        <v/>
      </c>
      <c r="O457" s="34"/>
      <c r="P457" s="34"/>
      <c r="Q457" s="34"/>
      <c r="R457" s="34"/>
      <c r="S457" s="34"/>
      <c r="T457" s="34"/>
      <c r="U457" s="34"/>
      <c r="V457" s="34"/>
    </row>
    <row r="458" spans="1:22">
      <c r="A458" s="35"/>
      <c r="B458" s="3"/>
      <c r="C458" s="35"/>
      <c r="D458" s="34"/>
      <c r="E458" s="34"/>
      <c r="F458" s="35"/>
      <c r="G458" s="35"/>
      <c r="H458" s="3"/>
      <c r="I458" s="35"/>
      <c r="J458" s="35" t="str">
        <f>IF(OR(TRIM(E458)="", TRIM(H458)=""), "", IFERROR(IF(OR(VLOOKUP(E458&amp;"|"&amp;H458&amp;"", DB!$A:$N, 6, FALSE)="", VLOOKUP(E458&amp;"|"&amp;H458&amp;"", DB!$A:$N, 6, FALSE)="-"), "", VLOOKUP(E458&amp;"|"&amp;H458&amp;"", DB!$A:$N, 6, FALSE)), ""))</f>
        <v/>
      </c>
      <c r="K458" s="35"/>
      <c r="L458" s="35"/>
      <c r="M458" s="35"/>
      <c r="N458" s="35" t="str">
        <f t="shared" si="7"/>
        <v/>
      </c>
      <c r="O458" s="34"/>
      <c r="P458" s="34"/>
      <c r="Q458" s="34"/>
      <c r="R458" s="34"/>
      <c r="S458" s="34"/>
      <c r="T458" s="34"/>
      <c r="U458" s="34"/>
      <c r="V458" s="34"/>
    </row>
    <row r="459" spans="1:22">
      <c r="A459" s="35"/>
      <c r="B459" s="3"/>
      <c r="C459" s="35"/>
      <c r="D459" s="34"/>
      <c r="E459" s="34"/>
      <c r="F459" s="35"/>
      <c r="G459" s="35"/>
      <c r="H459" s="3"/>
      <c r="I459" s="35"/>
      <c r="J459" s="35" t="str">
        <f>IF(OR(TRIM(E459)="", TRIM(H459)=""), "", IFERROR(IF(OR(VLOOKUP(E459&amp;"|"&amp;H459&amp;"", DB!$A:$N, 6, FALSE)="", VLOOKUP(E459&amp;"|"&amp;H459&amp;"", DB!$A:$N, 6, FALSE)="-"), "", VLOOKUP(E459&amp;"|"&amp;H459&amp;"", DB!$A:$N, 6, FALSE)), ""))</f>
        <v/>
      </c>
      <c r="K459" s="35"/>
      <c r="L459" s="35"/>
      <c r="M459" s="35"/>
      <c r="N459" s="35" t="str">
        <f t="shared" si="7"/>
        <v/>
      </c>
      <c r="O459" s="34"/>
      <c r="P459" s="34"/>
      <c r="Q459" s="34"/>
      <c r="R459" s="34"/>
      <c r="S459" s="34"/>
      <c r="T459" s="34"/>
      <c r="U459" s="34"/>
      <c r="V459" s="34"/>
    </row>
    <row r="460" spans="1:22">
      <c r="A460" s="35"/>
      <c r="B460" s="3"/>
      <c r="C460" s="35"/>
      <c r="D460" s="34"/>
      <c r="E460" s="34"/>
      <c r="F460" s="35"/>
      <c r="G460" s="35"/>
      <c r="H460" s="3"/>
      <c r="I460" s="35"/>
      <c r="J460" s="35" t="str">
        <f>IF(OR(TRIM(E460)="", TRIM(H460)=""), "", IFERROR(IF(OR(VLOOKUP(E460&amp;"|"&amp;H460&amp;"", DB!$A:$N, 6, FALSE)="", VLOOKUP(E460&amp;"|"&amp;H460&amp;"", DB!$A:$N, 6, FALSE)="-"), "", VLOOKUP(E460&amp;"|"&amp;H460&amp;"", DB!$A:$N, 6, FALSE)), ""))</f>
        <v/>
      </c>
      <c r="K460" s="35"/>
      <c r="L460" s="35"/>
      <c r="M460" s="35"/>
      <c r="N460" s="35" t="str">
        <f t="shared" si="7"/>
        <v/>
      </c>
      <c r="O460" s="34"/>
      <c r="P460" s="34"/>
      <c r="Q460" s="34"/>
      <c r="R460" s="34"/>
      <c r="S460" s="34"/>
      <c r="T460" s="34"/>
      <c r="U460" s="34"/>
      <c r="V460" s="34"/>
    </row>
    <row r="461" spans="1:22">
      <c r="A461" s="35"/>
      <c r="B461" s="3"/>
      <c r="C461" s="35"/>
      <c r="D461" s="34"/>
      <c r="E461" s="34"/>
      <c r="F461" s="35"/>
      <c r="G461" s="35"/>
      <c r="H461" s="3"/>
      <c r="I461" s="35"/>
      <c r="J461" s="35" t="str">
        <f>IF(OR(TRIM(E461)="", TRIM(H461)=""), "", IFERROR(IF(OR(VLOOKUP(E461&amp;"|"&amp;H461&amp;"", DB!$A:$N, 6, FALSE)="", VLOOKUP(E461&amp;"|"&amp;H461&amp;"", DB!$A:$N, 6, FALSE)="-"), "", VLOOKUP(E461&amp;"|"&amp;H461&amp;"", DB!$A:$N, 6, FALSE)), ""))</f>
        <v/>
      </c>
      <c r="K461" s="35"/>
      <c r="L461" s="35"/>
      <c r="M461" s="35"/>
      <c r="N461" s="35" t="str">
        <f t="shared" si="7"/>
        <v/>
      </c>
      <c r="O461" s="34"/>
      <c r="P461" s="34"/>
      <c r="Q461" s="34"/>
      <c r="R461" s="34"/>
      <c r="S461" s="34"/>
      <c r="T461" s="34"/>
      <c r="U461" s="34"/>
      <c r="V461" s="34"/>
    </row>
    <row r="462" spans="1:22">
      <c r="A462" s="35"/>
      <c r="B462" s="3"/>
      <c r="C462" s="35"/>
      <c r="D462" s="34"/>
      <c r="E462" s="34"/>
      <c r="F462" s="35"/>
      <c r="G462" s="35"/>
      <c r="H462" s="3"/>
      <c r="I462" s="35"/>
      <c r="J462" s="35" t="str">
        <f>IF(OR(TRIM(E462)="", TRIM(H462)=""), "", IFERROR(IF(OR(VLOOKUP(E462&amp;"|"&amp;H462&amp;"", DB!$A:$N, 6, FALSE)="", VLOOKUP(E462&amp;"|"&amp;H462&amp;"", DB!$A:$N, 6, FALSE)="-"), "", VLOOKUP(E462&amp;"|"&amp;H462&amp;"", DB!$A:$N, 6, FALSE)), ""))</f>
        <v/>
      </c>
      <c r="K462" s="35"/>
      <c r="L462" s="35"/>
      <c r="M462" s="35"/>
      <c r="N462" s="35" t="str">
        <f t="shared" si="7"/>
        <v/>
      </c>
      <c r="O462" s="34"/>
      <c r="P462" s="34"/>
      <c r="Q462" s="34"/>
      <c r="R462" s="34"/>
      <c r="S462" s="34"/>
      <c r="T462" s="34"/>
      <c r="U462" s="34"/>
      <c r="V462" s="34"/>
    </row>
    <row r="463" spans="1:22">
      <c r="A463" s="35"/>
      <c r="B463" s="3"/>
      <c r="C463" s="35"/>
      <c r="D463" s="34"/>
      <c r="E463" s="34"/>
      <c r="F463" s="35"/>
      <c r="G463" s="35"/>
      <c r="H463" s="3"/>
      <c r="I463" s="35"/>
      <c r="J463" s="35" t="str">
        <f>IF(OR(TRIM(E463)="", TRIM(H463)=""), "", IFERROR(IF(OR(VLOOKUP(E463&amp;"|"&amp;H463&amp;"", DB!$A:$N, 6, FALSE)="", VLOOKUP(E463&amp;"|"&amp;H463&amp;"", DB!$A:$N, 6, FALSE)="-"), "", VLOOKUP(E463&amp;"|"&amp;H463&amp;"", DB!$A:$N, 6, FALSE)), ""))</f>
        <v/>
      </c>
      <c r="K463" s="35"/>
      <c r="L463" s="35"/>
      <c r="M463" s="35"/>
      <c r="N463" s="35" t="str">
        <f t="shared" si="7"/>
        <v/>
      </c>
      <c r="O463" s="34"/>
      <c r="P463" s="34"/>
      <c r="Q463" s="34"/>
      <c r="R463" s="34"/>
      <c r="S463" s="34"/>
      <c r="T463" s="34"/>
      <c r="U463" s="34"/>
      <c r="V463" s="34"/>
    </row>
    <row r="464" spans="1:22">
      <c r="A464" s="35"/>
      <c r="B464" s="3"/>
      <c r="C464" s="35"/>
      <c r="D464" s="34"/>
      <c r="E464" s="34"/>
      <c r="F464" s="35"/>
      <c r="G464" s="35"/>
      <c r="H464" s="3"/>
      <c r="I464" s="35"/>
      <c r="J464" s="35" t="str">
        <f>IF(OR(TRIM(E464)="", TRIM(H464)=""), "", IFERROR(IF(OR(VLOOKUP(E464&amp;"|"&amp;H464&amp;"", DB!$A:$N, 6, FALSE)="", VLOOKUP(E464&amp;"|"&amp;H464&amp;"", DB!$A:$N, 6, FALSE)="-"), "", VLOOKUP(E464&amp;"|"&amp;H464&amp;"", DB!$A:$N, 6, FALSE)), ""))</f>
        <v/>
      </c>
      <c r="K464" s="35"/>
      <c r="L464" s="35"/>
      <c r="M464" s="35"/>
      <c r="N464" s="35" t="str">
        <f t="shared" si="7"/>
        <v/>
      </c>
      <c r="O464" s="34"/>
      <c r="P464" s="34"/>
      <c r="Q464" s="34"/>
      <c r="R464" s="34"/>
      <c r="S464" s="34"/>
      <c r="T464" s="34"/>
      <c r="U464" s="34"/>
      <c r="V464" s="34"/>
    </row>
    <row r="465" spans="1:22">
      <c r="A465" s="35"/>
      <c r="B465" s="3"/>
      <c r="C465" s="35"/>
      <c r="D465" s="34"/>
      <c r="E465" s="34"/>
      <c r="F465" s="35"/>
      <c r="G465" s="35"/>
      <c r="H465" s="3"/>
      <c r="I465" s="35"/>
      <c r="J465" s="35" t="str">
        <f>IF(OR(TRIM(E465)="", TRIM(H465)=""), "", IFERROR(IF(OR(VLOOKUP(E465&amp;"|"&amp;H465&amp;"", DB!$A:$N, 6, FALSE)="", VLOOKUP(E465&amp;"|"&amp;H465&amp;"", DB!$A:$N, 6, FALSE)="-"), "", VLOOKUP(E465&amp;"|"&amp;H465&amp;"", DB!$A:$N, 6, FALSE)), ""))</f>
        <v/>
      </c>
      <c r="K465" s="35"/>
      <c r="L465" s="35"/>
      <c r="M465" s="35"/>
      <c r="N465" s="35" t="str">
        <f t="shared" si="7"/>
        <v/>
      </c>
      <c r="O465" s="34"/>
      <c r="P465" s="34"/>
      <c r="Q465" s="34"/>
      <c r="R465" s="34"/>
      <c r="S465" s="34"/>
      <c r="T465" s="34"/>
      <c r="U465" s="34"/>
      <c r="V465" s="34"/>
    </row>
    <row r="466" spans="1:22">
      <c r="A466" s="35"/>
      <c r="B466" s="3"/>
      <c r="C466" s="35"/>
      <c r="D466" s="34"/>
      <c r="E466" s="34"/>
      <c r="F466" s="35"/>
      <c r="G466" s="35"/>
      <c r="H466" s="3"/>
      <c r="I466" s="35"/>
      <c r="J466" s="35" t="str">
        <f>IF(OR(TRIM(E466)="", TRIM(H466)=""), "", IFERROR(IF(OR(VLOOKUP(E466&amp;"|"&amp;H466&amp;"", DB!$A:$N, 6, FALSE)="", VLOOKUP(E466&amp;"|"&amp;H466&amp;"", DB!$A:$N, 6, FALSE)="-"), "", VLOOKUP(E466&amp;"|"&amp;H466&amp;"", DB!$A:$N, 6, FALSE)), ""))</f>
        <v/>
      </c>
      <c r="K466" s="35"/>
      <c r="L466" s="35"/>
      <c r="M466" s="35"/>
      <c r="N466" s="35" t="str">
        <f t="shared" si="7"/>
        <v/>
      </c>
      <c r="O466" s="34"/>
      <c r="P466" s="34"/>
      <c r="Q466" s="34"/>
      <c r="R466" s="34"/>
      <c r="S466" s="34"/>
      <c r="T466" s="34"/>
      <c r="U466" s="34"/>
      <c r="V466" s="34"/>
    </row>
    <row r="467" spans="1:22">
      <c r="A467" s="35"/>
      <c r="B467" s="3"/>
      <c r="C467" s="35"/>
      <c r="D467" s="34"/>
      <c r="E467" s="34"/>
      <c r="F467" s="35"/>
      <c r="G467" s="35"/>
      <c r="H467" s="3"/>
      <c r="I467" s="35"/>
      <c r="J467" s="35" t="str">
        <f>IF(OR(TRIM(E467)="", TRIM(H467)=""), "", IFERROR(IF(OR(VLOOKUP(E467&amp;"|"&amp;H467&amp;"", DB!$A:$N, 6, FALSE)="", VLOOKUP(E467&amp;"|"&amp;H467&amp;"", DB!$A:$N, 6, FALSE)="-"), "", VLOOKUP(E467&amp;"|"&amp;H467&amp;"", DB!$A:$N, 6, FALSE)), ""))</f>
        <v/>
      </c>
      <c r="K467" s="35"/>
      <c r="L467" s="35"/>
      <c r="M467" s="35"/>
      <c r="N467" s="35" t="str">
        <f t="shared" si="7"/>
        <v/>
      </c>
      <c r="O467" s="34"/>
      <c r="P467" s="34"/>
      <c r="Q467" s="34"/>
      <c r="R467" s="34"/>
      <c r="S467" s="34"/>
      <c r="T467" s="34"/>
      <c r="U467" s="34"/>
      <c r="V467" s="34"/>
    </row>
    <row r="468" spans="1:22">
      <c r="A468" s="35"/>
      <c r="B468" s="3"/>
      <c r="C468" s="35"/>
      <c r="D468" s="34"/>
      <c r="E468" s="34"/>
      <c r="F468" s="35"/>
      <c r="G468" s="35"/>
      <c r="H468" s="3"/>
      <c r="I468" s="35"/>
      <c r="J468" s="35" t="str">
        <f>IF(OR(TRIM(E468)="", TRIM(H468)=""), "", IFERROR(IF(OR(VLOOKUP(E468&amp;"|"&amp;H468&amp;"", DB!$A:$N, 6, FALSE)="", VLOOKUP(E468&amp;"|"&amp;H468&amp;"", DB!$A:$N, 6, FALSE)="-"), "", VLOOKUP(E468&amp;"|"&amp;H468&amp;"", DB!$A:$N, 6, FALSE)), ""))</f>
        <v/>
      </c>
      <c r="K468" s="35"/>
      <c r="L468" s="35"/>
      <c r="M468" s="35"/>
      <c r="N468" s="35" t="str">
        <f t="shared" si="7"/>
        <v/>
      </c>
      <c r="O468" s="34"/>
      <c r="P468" s="34"/>
      <c r="Q468" s="34"/>
      <c r="R468" s="34"/>
      <c r="S468" s="34"/>
      <c r="T468" s="34"/>
      <c r="U468" s="34"/>
      <c r="V468" s="34"/>
    </row>
    <row r="469" spans="1:22">
      <c r="A469" s="35"/>
      <c r="B469" s="3"/>
      <c r="C469" s="35"/>
      <c r="D469" s="34"/>
      <c r="E469" s="34"/>
      <c r="F469" s="35"/>
      <c r="G469" s="35"/>
      <c r="H469" s="3"/>
      <c r="I469" s="35"/>
      <c r="J469" s="35" t="str">
        <f>IF(OR(TRIM(E469)="", TRIM(H469)=""), "", IFERROR(IF(OR(VLOOKUP(E469&amp;"|"&amp;H469&amp;"", DB!$A:$N, 6, FALSE)="", VLOOKUP(E469&amp;"|"&amp;H469&amp;"", DB!$A:$N, 6, FALSE)="-"), "", VLOOKUP(E469&amp;"|"&amp;H469&amp;"", DB!$A:$N, 6, FALSE)), ""))</f>
        <v/>
      </c>
      <c r="K469" s="35"/>
      <c r="L469" s="35"/>
      <c r="M469" s="35"/>
      <c r="N469" s="35" t="str">
        <f t="shared" si="7"/>
        <v/>
      </c>
      <c r="O469" s="34"/>
      <c r="P469" s="34"/>
      <c r="Q469" s="34"/>
      <c r="R469" s="34"/>
      <c r="S469" s="34"/>
      <c r="T469" s="34"/>
      <c r="U469" s="34"/>
      <c r="V469" s="34"/>
    </row>
    <row r="470" spans="1:22">
      <c r="A470" s="35"/>
      <c r="B470" s="3"/>
      <c r="C470" s="35"/>
      <c r="D470" s="34"/>
      <c r="E470" s="34"/>
      <c r="F470" s="35"/>
      <c r="G470" s="35"/>
      <c r="H470" s="3"/>
      <c r="I470" s="35"/>
      <c r="J470" s="35" t="str">
        <f>IF(OR(TRIM(E470)="", TRIM(H470)=""), "", IFERROR(IF(OR(VLOOKUP(E470&amp;"|"&amp;H470&amp;"", DB!$A:$N, 6, FALSE)="", VLOOKUP(E470&amp;"|"&amp;H470&amp;"", DB!$A:$N, 6, FALSE)="-"), "", VLOOKUP(E470&amp;"|"&amp;H470&amp;"", DB!$A:$N, 6, FALSE)), ""))</f>
        <v/>
      </c>
      <c r="K470" s="35"/>
      <c r="L470" s="35"/>
      <c r="M470" s="35"/>
      <c r="N470" s="35" t="str">
        <f t="shared" si="7"/>
        <v/>
      </c>
      <c r="O470" s="34"/>
      <c r="P470" s="34"/>
      <c r="Q470" s="34"/>
      <c r="R470" s="34"/>
      <c r="S470" s="34"/>
      <c r="T470" s="34"/>
      <c r="U470" s="34"/>
      <c r="V470" s="34"/>
    </row>
    <row r="471" spans="1:22">
      <c r="A471" s="35"/>
      <c r="B471" s="3"/>
      <c r="C471" s="35"/>
      <c r="D471" s="34"/>
      <c r="E471" s="34"/>
      <c r="F471" s="35"/>
      <c r="G471" s="35"/>
      <c r="H471" s="3"/>
      <c r="I471" s="35"/>
      <c r="J471" s="35" t="str">
        <f>IF(OR(TRIM(E471)="", TRIM(H471)=""), "", IFERROR(IF(OR(VLOOKUP(E471&amp;"|"&amp;H471&amp;"", DB!$A:$N, 6, FALSE)="", VLOOKUP(E471&amp;"|"&amp;H471&amp;"", DB!$A:$N, 6, FALSE)="-"), "", VLOOKUP(E471&amp;"|"&amp;H471&amp;"", DB!$A:$N, 6, FALSE)), ""))</f>
        <v/>
      </c>
      <c r="K471" s="35"/>
      <c r="L471" s="35"/>
      <c r="M471" s="35"/>
      <c r="N471" s="35" t="str">
        <f t="shared" si="7"/>
        <v/>
      </c>
      <c r="O471" s="34"/>
      <c r="P471" s="34"/>
      <c r="Q471" s="34"/>
      <c r="R471" s="34"/>
      <c r="S471" s="34"/>
      <c r="T471" s="34"/>
      <c r="U471" s="34"/>
      <c r="V471" s="34"/>
    </row>
    <row r="472" spans="1:22">
      <c r="A472" s="35"/>
      <c r="B472" s="3"/>
      <c r="C472" s="35"/>
      <c r="D472" s="34"/>
      <c r="E472" s="34"/>
      <c r="F472" s="35"/>
      <c r="G472" s="35"/>
      <c r="H472" s="3"/>
      <c r="I472" s="35"/>
      <c r="J472" s="35" t="str">
        <f>IF(OR(TRIM(E472)="", TRIM(H472)=""), "", IFERROR(IF(OR(VLOOKUP(E472&amp;"|"&amp;H472&amp;"", DB!$A:$N, 6, FALSE)="", VLOOKUP(E472&amp;"|"&amp;H472&amp;"", DB!$A:$N, 6, FALSE)="-"), "", VLOOKUP(E472&amp;"|"&amp;H472&amp;"", DB!$A:$N, 6, FALSE)), ""))</f>
        <v/>
      </c>
      <c r="K472" s="35"/>
      <c r="L472" s="35"/>
      <c r="M472" s="35"/>
      <c r="N472" s="35" t="str">
        <f t="shared" si="7"/>
        <v/>
      </c>
      <c r="O472" s="34"/>
      <c r="P472" s="34"/>
      <c r="Q472" s="34"/>
      <c r="R472" s="34"/>
      <c r="S472" s="34"/>
      <c r="T472" s="34"/>
      <c r="U472" s="34"/>
      <c r="V472" s="34"/>
    </row>
    <row r="473" spans="1:22">
      <c r="A473" s="35"/>
      <c r="B473" s="3"/>
      <c r="C473" s="35"/>
      <c r="D473" s="34"/>
      <c r="E473" s="34"/>
      <c r="F473" s="35"/>
      <c r="G473" s="35"/>
      <c r="H473" s="3"/>
      <c r="I473" s="35"/>
      <c r="J473" s="35" t="str">
        <f>IF(OR(TRIM(E473)="", TRIM(H473)=""), "", IFERROR(IF(OR(VLOOKUP(E473&amp;"|"&amp;H473&amp;"", DB!$A:$N, 6, FALSE)="", VLOOKUP(E473&amp;"|"&amp;H473&amp;"", DB!$A:$N, 6, FALSE)="-"), "", VLOOKUP(E473&amp;"|"&amp;H473&amp;"", DB!$A:$N, 6, FALSE)), ""))</f>
        <v/>
      </c>
      <c r="K473" s="35"/>
      <c r="L473" s="35"/>
      <c r="M473" s="35"/>
      <c r="N473" s="35" t="str">
        <f t="shared" si="7"/>
        <v/>
      </c>
      <c r="O473" s="34"/>
      <c r="P473" s="34"/>
      <c r="Q473" s="34"/>
      <c r="R473" s="34"/>
      <c r="S473" s="34"/>
      <c r="T473" s="34"/>
      <c r="U473" s="34"/>
      <c r="V473" s="34"/>
    </row>
    <row r="474" spans="1:22">
      <c r="A474" s="35"/>
      <c r="B474" s="3"/>
      <c r="C474" s="35"/>
      <c r="D474" s="34"/>
      <c r="E474" s="34"/>
      <c r="F474" s="35"/>
      <c r="G474" s="35"/>
      <c r="H474" s="3"/>
      <c r="I474" s="35"/>
      <c r="J474" s="35" t="str">
        <f>IF(OR(TRIM(E474)="", TRIM(H474)=""), "", IFERROR(IF(OR(VLOOKUP(E474&amp;"|"&amp;H474&amp;"", DB!$A:$N, 6, FALSE)="", VLOOKUP(E474&amp;"|"&amp;H474&amp;"", DB!$A:$N, 6, FALSE)="-"), "", VLOOKUP(E474&amp;"|"&amp;H474&amp;"", DB!$A:$N, 6, FALSE)), ""))</f>
        <v/>
      </c>
      <c r="K474" s="35"/>
      <c r="L474" s="35"/>
      <c r="M474" s="35"/>
      <c r="N474" s="35" t="str">
        <f t="shared" si="7"/>
        <v/>
      </c>
      <c r="O474" s="34"/>
      <c r="P474" s="34"/>
      <c r="Q474" s="34"/>
      <c r="R474" s="34"/>
      <c r="S474" s="34"/>
      <c r="T474" s="34"/>
      <c r="U474" s="34"/>
      <c r="V474" s="34"/>
    </row>
    <row r="475" spans="1:22">
      <c r="A475" s="35"/>
      <c r="B475" s="3"/>
      <c r="C475" s="35"/>
      <c r="D475" s="34"/>
      <c r="E475" s="34"/>
      <c r="F475" s="35"/>
      <c r="G475" s="35"/>
      <c r="H475" s="3"/>
      <c r="I475" s="35"/>
      <c r="J475" s="35" t="str">
        <f>IF(OR(TRIM(E475)="", TRIM(H475)=""), "", IFERROR(IF(OR(VLOOKUP(E475&amp;"|"&amp;H475&amp;"", DB!$A:$N, 6, FALSE)="", VLOOKUP(E475&amp;"|"&amp;H475&amp;"", DB!$A:$N, 6, FALSE)="-"), "", VLOOKUP(E475&amp;"|"&amp;H475&amp;"", DB!$A:$N, 6, FALSE)), ""))</f>
        <v/>
      </c>
      <c r="K475" s="35"/>
      <c r="L475" s="35"/>
      <c r="M475" s="35"/>
      <c r="N475" s="35" t="str">
        <f t="shared" si="7"/>
        <v/>
      </c>
      <c r="O475" s="34"/>
      <c r="P475" s="34"/>
      <c r="Q475" s="34"/>
      <c r="R475" s="34"/>
      <c r="S475" s="34"/>
      <c r="T475" s="34"/>
      <c r="U475" s="34"/>
      <c r="V475" s="34"/>
    </row>
    <row r="476" spans="1:22">
      <c r="A476" s="35"/>
      <c r="B476" s="3"/>
      <c r="C476" s="35"/>
      <c r="D476" s="34"/>
      <c r="E476" s="34"/>
      <c r="F476" s="35"/>
      <c r="G476" s="35"/>
      <c r="H476" s="3"/>
      <c r="I476" s="35"/>
      <c r="J476" s="35" t="str">
        <f>IF(OR(TRIM(E476)="", TRIM(H476)=""), "", IFERROR(IF(OR(VLOOKUP(E476&amp;"|"&amp;H476&amp;"", DB!$A:$N, 6, FALSE)="", VLOOKUP(E476&amp;"|"&amp;H476&amp;"", DB!$A:$N, 6, FALSE)="-"), "", VLOOKUP(E476&amp;"|"&amp;H476&amp;"", DB!$A:$N, 6, FALSE)), ""))</f>
        <v/>
      </c>
      <c r="K476" s="35"/>
      <c r="L476" s="35"/>
      <c r="M476" s="35"/>
      <c r="N476" s="35" t="str">
        <f t="shared" si="7"/>
        <v/>
      </c>
      <c r="O476" s="34"/>
      <c r="P476" s="34"/>
      <c r="Q476" s="34"/>
      <c r="R476" s="34"/>
      <c r="S476" s="34"/>
      <c r="T476" s="34"/>
      <c r="U476" s="34"/>
      <c r="V476" s="34"/>
    </row>
    <row r="477" spans="1:22">
      <c r="A477" s="35"/>
      <c r="B477" s="3"/>
      <c r="C477" s="35"/>
      <c r="D477" s="34"/>
      <c r="E477" s="34"/>
      <c r="F477" s="35"/>
      <c r="G477" s="35"/>
      <c r="H477" s="3"/>
      <c r="I477" s="35"/>
      <c r="J477" s="35" t="str">
        <f>IF(OR(TRIM(E477)="", TRIM(H477)=""), "", IFERROR(IF(OR(VLOOKUP(E477&amp;"|"&amp;H477&amp;"", DB!$A:$N, 6, FALSE)="", VLOOKUP(E477&amp;"|"&amp;H477&amp;"", DB!$A:$N, 6, FALSE)="-"), "", VLOOKUP(E477&amp;"|"&amp;H477&amp;"", DB!$A:$N, 6, FALSE)), ""))</f>
        <v/>
      </c>
      <c r="K477" s="35"/>
      <c r="L477" s="35"/>
      <c r="M477" s="35"/>
      <c r="N477" s="35" t="str">
        <f t="shared" si="7"/>
        <v/>
      </c>
      <c r="O477" s="34"/>
      <c r="P477" s="34"/>
      <c r="Q477" s="34"/>
      <c r="R477" s="34"/>
      <c r="S477" s="34"/>
      <c r="T477" s="34"/>
      <c r="U477" s="34"/>
      <c r="V477" s="34"/>
    </row>
    <row r="478" spans="1:22">
      <c r="A478" s="35"/>
      <c r="B478" s="3"/>
      <c r="C478" s="35"/>
      <c r="D478" s="34"/>
      <c r="E478" s="34"/>
      <c r="F478" s="35"/>
      <c r="G478" s="35"/>
      <c r="H478" s="3"/>
      <c r="I478" s="35"/>
      <c r="J478" s="35" t="str">
        <f>IF(OR(TRIM(E478)="", TRIM(H478)=""), "", IFERROR(IF(OR(VLOOKUP(E478&amp;"|"&amp;H478&amp;"", DB!$A:$N, 6, FALSE)="", VLOOKUP(E478&amp;"|"&amp;H478&amp;"", DB!$A:$N, 6, FALSE)="-"), "", VLOOKUP(E478&amp;"|"&amp;H478&amp;"", DB!$A:$N, 6, FALSE)), ""))</f>
        <v/>
      </c>
      <c r="K478" s="35"/>
      <c r="L478" s="35"/>
      <c r="M478" s="35"/>
      <c r="N478" s="35" t="str">
        <f t="shared" si="7"/>
        <v/>
      </c>
      <c r="O478" s="34"/>
      <c r="P478" s="34"/>
      <c r="Q478" s="34"/>
      <c r="R478" s="34"/>
      <c r="S478" s="34"/>
      <c r="T478" s="34"/>
      <c r="U478" s="34"/>
      <c r="V478" s="34"/>
    </row>
    <row r="479" spans="1:22">
      <c r="A479" s="35"/>
      <c r="B479" s="3"/>
      <c r="C479" s="35"/>
      <c r="D479" s="34"/>
      <c r="E479" s="34"/>
      <c r="F479" s="35"/>
      <c r="G479" s="35"/>
      <c r="H479" s="3"/>
      <c r="I479" s="35"/>
      <c r="J479" s="35" t="str">
        <f>IF(OR(TRIM(E479)="", TRIM(H479)=""), "", IFERROR(IF(OR(VLOOKUP(E479&amp;"|"&amp;H479&amp;"", DB!$A:$N, 6, FALSE)="", VLOOKUP(E479&amp;"|"&amp;H479&amp;"", DB!$A:$N, 6, FALSE)="-"), "", VLOOKUP(E479&amp;"|"&amp;H479&amp;"", DB!$A:$N, 6, FALSE)), ""))</f>
        <v/>
      </c>
      <c r="K479" s="35"/>
      <c r="L479" s="35"/>
      <c r="M479" s="35"/>
      <c r="N479" s="35" t="str">
        <f t="shared" si="7"/>
        <v/>
      </c>
      <c r="O479" s="34"/>
      <c r="P479" s="34"/>
      <c r="Q479" s="34"/>
      <c r="R479" s="34"/>
      <c r="S479" s="34"/>
      <c r="T479" s="34"/>
      <c r="U479" s="34"/>
      <c r="V479" s="34"/>
    </row>
    <row r="480" spans="1:22">
      <c r="A480" s="35"/>
      <c r="B480" s="3"/>
      <c r="C480" s="35"/>
      <c r="D480" s="34"/>
      <c r="E480" s="34"/>
      <c r="F480" s="35"/>
      <c r="G480" s="35"/>
      <c r="H480" s="3"/>
      <c r="I480" s="35"/>
      <c r="J480" s="35" t="str">
        <f>IF(OR(TRIM(E480)="", TRIM(H480)=""), "", IFERROR(IF(OR(VLOOKUP(E480&amp;"|"&amp;H480&amp;"", DB!$A:$N, 6, FALSE)="", VLOOKUP(E480&amp;"|"&amp;H480&amp;"", DB!$A:$N, 6, FALSE)="-"), "", VLOOKUP(E480&amp;"|"&amp;H480&amp;"", DB!$A:$N, 6, FALSE)), ""))</f>
        <v/>
      </c>
      <c r="K480" s="35"/>
      <c r="L480" s="35"/>
      <c r="M480" s="35"/>
      <c r="N480" s="35" t="str">
        <f t="shared" si="7"/>
        <v/>
      </c>
      <c r="O480" s="34"/>
      <c r="P480" s="34"/>
      <c r="Q480" s="34"/>
      <c r="R480" s="34"/>
      <c r="S480" s="34"/>
      <c r="T480" s="34"/>
      <c r="U480" s="34"/>
      <c r="V480" s="34"/>
    </row>
    <row r="481" spans="1:22">
      <c r="A481" s="35"/>
      <c r="B481" s="3"/>
      <c r="C481" s="35"/>
      <c r="D481" s="34"/>
      <c r="E481" s="34"/>
      <c r="F481" s="35"/>
      <c r="G481" s="35"/>
      <c r="H481" s="3"/>
      <c r="I481" s="35"/>
      <c r="J481" s="35" t="str">
        <f>IF(OR(TRIM(E481)="", TRIM(H481)=""), "", IFERROR(IF(OR(VLOOKUP(E481&amp;"|"&amp;H481&amp;"", DB!$A:$N, 6, FALSE)="", VLOOKUP(E481&amp;"|"&amp;H481&amp;"", DB!$A:$N, 6, FALSE)="-"), "", VLOOKUP(E481&amp;"|"&amp;H481&amp;"", DB!$A:$N, 6, FALSE)), ""))</f>
        <v/>
      </c>
      <c r="K481" s="35"/>
      <c r="L481" s="35"/>
      <c r="M481" s="35"/>
      <c r="N481" s="35" t="str">
        <f t="shared" si="7"/>
        <v/>
      </c>
      <c r="O481" s="34"/>
      <c r="P481" s="34"/>
      <c r="Q481" s="34"/>
      <c r="R481" s="34"/>
      <c r="S481" s="34"/>
      <c r="T481" s="34"/>
      <c r="U481" s="34"/>
      <c r="V481" s="34"/>
    </row>
    <row r="482" spans="1:22">
      <c r="A482" s="35"/>
      <c r="B482" s="3"/>
      <c r="C482" s="35"/>
      <c r="D482" s="34"/>
      <c r="E482" s="34"/>
      <c r="F482" s="35"/>
      <c r="G482" s="35"/>
      <c r="H482" s="3"/>
      <c r="I482" s="35"/>
      <c r="J482" s="35" t="str">
        <f>IF(OR(TRIM(E482)="", TRIM(H482)=""), "", IFERROR(IF(OR(VLOOKUP(E482&amp;"|"&amp;H482&amp;"", DB!$A:$N, 6, FALSE)="", VLOOKUP(E482&amp;"|"&amp;H482&amp;"", DB!$A:$N, 6, FALSE)="-"), "", VLOOKUP(E482&amp;"|"&amp;H482&amp;"", DB!$A:$N, 6, FALSE)), ""))</f>
        <v/>
      </c>
      <c r="K482" s="35"/>
      <c r="L482" s="35"/>
      <c r="M482" s="35"/>
      <c r="N482" s="35" t="str">
        <f t="shared" si="7"/>
        <v/>
      </c>
      <c r="O482" s="34"/>
      <c r="P482" s="34"/>
      <c r="Q482" s="34"/>
      <c r="R482" s="34"/>
      <c r="S482" s="34"/>
      <c r="T482" s="34"/>
      <c r="U482" s="34"/>
      <c r="V482" s="34"/>
    </row>
    <row r="483" spans="1:22">
      <c r="A483" s="35"/>
      <c r="B483" s="3"/>
      <c r="C483" s="35"/>
      <c r="D483" s="34"/>
      <c r="E483" s="34"/>
      <c r="F483" s="35"/>
      <c r="G483" s="35"/>
      <c r="H483" s="3"/>
      <c r="I483" s="35"/>
      <c r="J483" s="35" t="str">
        <f>IF(OR(TRIM(E483)="", TRIM(H483)=""), "", IFERROR(IF(OR(VLOOKUP(E483&amp;"|"&amp;H483&amp;"", DB!$A:$N, 6, FALSE)="", VLOOKUP(E483&amp;"|"&amp;H483&amp;"", DB!$A:$N, 6, FALSE)="-"), "", VLOOKUP(E483&amp;"|"&amp;H483&amp;"", DB!$A:$N, 6, FALSE)), ""))</f>
        <v/>
      </c>
      <c r="K483" s="35"/>
      <c r="L483" s="35"/>
      <c r="M483" s="35"/>
      <c r="N483" s="35" t="str">
        <f t="shared" si="7"/>
        <v/>
      </c>
      <c r="O483" s="34"/>
      <c r="P483" s="34"/>
      <c r="Q483" s="34"/>
      <c r="R483" s="34"/>
      <c r="S483" s="34"/>
      <c r="T483" s="34"/>
      <c r="U483" s="34"/>
      <c r="V483" s="34"/>
    </row>
    <row r="484" spans="1:22">
      <c r="A484" s="35"/>
      <c r="B484" s="3"/>
      <c r="C484" s="35"/>
      <c r="D484" s="34"/>
      <c r="E484" s="34"/>
      <c r="F484" s="35"/>
      <c r="G484" s="35"/>
      <c r="H484" s="3"/>
      <c r="I484" s="35"/>
      <c r="J484" s="35" t="str">
        <f>IF(OR(TRIM(E484)="", TRIM(H484)=""), "", IFERROR(IF(OR(VLOOKUP(E484&amp;"|"&amp;H484&amp;"", DB!$A:$N, 6, FALSE)="", VLOOKUP(E484&amp;"|"&amp;H484&amp;"", DB!$A:$N, 6, FALSE)="-"), "", VLOOKUP(E484&amp;"|"&amp;H484&amp;"", DB!$A:$N, 6, FALSE)), ""))</f>
        <v/>
      </c>
      <c r="K484" s="35"/>
      <c r="L484" s="35"/>
      <c r="M484" s="35"/>
      <c r="N484" s="35" t="str">
        <f t="shared" si="7"/>
        <v/>
      </c>
      <c r="O484" s="34"/>
      <c r="P484" s="34"/>
      <c r="Q484" s="34"/>
      <c r="R484" s="34"/>
      <c r="S484" s="34"/>
      <c r="T484" s="34"/>
      <c r="U484" s="34"/>
      <c r="V484" s="34"/>
    </row>
    <row r="485" spans="1:22">
      <c r="A485" s="35"/>
      <c r="B485" s="3"/>
      <c r="C485" s="35"/>
      <c r="D485" s="34"/>
      <c r="E485" s="34"/>
      <c r="F485" s="35"/>
      <c r="G485" s="35"/>
      <c r="H485" s="3"/>
      <c r="I485" s="35"/>
      <c r="J485" s="35" t="str">
        <f>IF(OR(TRIM(E485)="", TRIM(H485)=""), "", IFERROR(IF(OR(VLOOKUP(E485&amp;"|"&amp;H485&amp;"", DB!$A:$N, 6, FALSE)="", VLOOKUP(E485&amp;"|"&amp;H485&amp;"", DB!$A:$N, 6, FALSE)="-"), "", VLOOKUP(E485&amp;"|"&amp;H485&amp;"", DB!$A:$N, 6, FALSE)), ""))</f>
        <v/>
      </c>
      <c r="K485" s="35"/>
      <c r="L485" s="35"/>
      <c r="M485" s="35"/>
      <c r="N485" s="35" t="str">
        <f t="shared" si="7"/>
        <v/>
      </c>
      <c r="O485" s="34"/>
      <c r="P485" s="34"/>
      <c r="Q485" s="34"/>
      <c r="R485" s="34"/>
      <c r="S485" s="34"/>
      <c r="T485" s="34"/>
      <c r="U485" s="34"/>
      <c r="V485" s="34"/>
    </row>
    <row r="486" spans="1:22">
      <c r="A486" s="35"/>
      <c r="B486" s="3"/>
      <c r="C486" s="35"/>
      <c r="D486" s="34"/>
      <c r="E486" s="34"/>
      <c r="F486" s="35"/>
      <c r="G486" s="35"/>
      <c r="H486" s="3"/>
      <c r="I486" s="35"/>
      <c r="J486" s="35" t="str">
        <f>IF(OR(TRIM(E486)="", TRIM(H486)=""), "", IFERROR(IF(OR(VLOOKUP(E486&amp;"|"&amp;H486&amp;"", DB!$A:$N, 6, FALSE)="", VLOOKUP(E486&amp;"|"&amp;H486&amp;"", DB!$A:$N, 6, FALSE)="-"), "", VLOOKUP(E486&amp;"|"&amp;H486&amp;"", DB!$A:$N, 6, FALSE)), ""))</f>
        <v/>
      </c>
      <c r="K486" s="35"/>
      <c r="L486" s="35"/>
      <c r="M486" s="35"/>
      <c r="N486" s="35" t="str">
        <f t="shared" si="7"/>
        <v/>
      </c>
      <c r="O486" s="34"/>
      <c r="P486" s="34"/>
      <c r="Q486" s="34"/>
      <c r="R486" s="34"/>
      <c r="S486" s="34"/>
      <c r="T486" s="34"/>
      <c r="U486" s="34"/>
      <c r="V486" s="34"/>
    </row>
    <row r="487" spans="1:22">
      <c r="A487" s="35"/>
      <c r="B487" s="3"/>
      <c r="C487" s="35"/>
      <c r="D487" s="34"/>
      <c r="E487" s="34"/>
      <c r="F487" s="35"/>
      <c r="G487" s="35"/>
      <c r="H487" s="3"/>
      <c r="I487" s="35"/>
      <c r="J487" s="35" t="str">
        <f>IF(OR(TRIM(E487)="", TRIM(H487)=""), "", IFERROR(IF(OR(VLOOKUP(E487&amp;"|"&amp;H487&amp;"", DB!$A:$N, 6, FALSE)="", VLOOKUP(E487&amp;"|"&amp;H487&amp;"", DB!$A:$N, 6, FALSE)="-"), "", VLOOKUP(E487&amp;"|"&amp;H487&amp;"", DB!$A:$N, 6, FALSE)), ""))</f>
        <v/>
      </c>
      <c r="K487" s="35"/>
      <c r="L487" s="35"/>
      <c r="M487" s="35"/>
      <c r="N487" s="35" t="str">
        <f t="shared" si="7"/>
        <v/>
      </c>
      <c r="O487" s="34"/>
      <c r="P487" s="34"/>
      <c r="Q487" s="34"/>
      <c r="R487" s="34"/>
      <c r="S487" s="34"/>
      <c r="T487" s="34"/>
      <c r="U487" s="34"/>
      <c r="V487" s="34"/>
    </row>
    <row r="488" spans="1:22">
      <c r="A488" s="35"/>
      <c r="B488" s="3"/>
      <c r="C488" s="35"/>
      <c r="D488" s="34"/>
      <c r="E488" s="34"/>
      <c r="F488" s="35"/>
      <c r="G488" s="35"/>
      <c r="H488" s="3"/>
      <c r="I488" s="35"/>
      <c r="J488" s="35" t="str">
        <f>IF(OR(TRIM(E488)="", TRIM(H488)=""), "", IFERROR(IF(OR(VLOOKUP(E488&amp;"|"&amp;H488&amp;"", DB!$A:$N, 6, FALSE)="", VLOOKUP(E488&amp;"|"&amp;H488&amp;"", DB!$A:$N, 6, FALSE)="-"), "", VLOOKUP(E488&amp;"|"&amp;H488&amp;"", DB!$A:$N, 6, FALSE)), ""))</f>
        <v/>
      </c>
      <c r="K488" s="35"/>
      <c r="L488" s="35"/>
      <c r="M488" s="35"/>
      <c r="N488" s="35" t="str">
        <f t="shared" si="7"/>
        <v/>
      </c>
      <c r="O488" s="34"/>
      <c r="P488" s="34"/>
      <c r="Q488" s="34"/>
      <c r="R488" s="34"/>
      <c r="S488" s="34"/>
      <c r="T488" s="34"/>
      <c r="U488" s="34"/>
      <c r="V488" s="34"/>
    </row>
    <row r="489" spans="1:22">
      <c r="A489" s="35"/>
      <c r="B489" s="3"/>
      <c r="C489" s="35"/>
      <c r="D489" s="34"/>
      <c r="E489" s="34"/>
      <c r="F489" s="35"/>
      <c r="G489" s="35"/>
      <c r="H489" s="3"/>
      <c r="I489" s="35"/>
      <c r="J489" s="35" t="str">
        <f>IF(OR(TRIM(E489)="", TRIM(H489)=""), "", IFERROR(IF(OR(VLOOKUP(E489&amp;"|"&amp;H489&amp;"", DB!$A:$N, 6, FALSE)="", VLOOKUP(E489&amp;"|"&amp;H489&amp;"", DB!$A:$N, 6, FALSE)="-"), "", VLOOKUP(E489&amp;"|"&amp;H489&amp;"", DB!$A:$N, 6, FALSE)), ""))</f>
        <v/>
      </c>
      <c r="K489" s="35"/>
      <c r="L489" s="35"/>
      <c r="M489" s="35"/>
      <c r="N489" s="35" t="str">
        <f t="shared" si="7"/>
        <v/>
      </c>
      <c r="O489" s="34"/>
      <c r="P489" s="34"/>
      <c r="Q489" s="34"/>
      <c r="R489" s="34"/>
      <c r="S489" s="34"/>
      <c r="T489" s="34"/>
      <c r="U489" s="34"/>
      <c r="V489" s="34"/>
    </row>
    <row r="490" spans="1:22">
      <c r="A490" s="35"/>
      <c r="B490" s="3"/>
      <c r="C490" s="35"/>
      <c r="D490" s="34"/>
      <c r="E490" s="34"/>
      <c r="F490" s="35"/>
      <c r="G490" s="35"/>
      <c r="H490" s="3"/>
      <c r="I490" s="35"/>
      <c r="J490" s="35" t="str">
        <f>IF(OR(TRIM(E490)="", TRIM(H490)=""), "", IFERROR(IF(OR(VLOOKUP(E490&amp;"|"&amp;H490&amp;"", DB!$A:$N, 6, FALSE)="", VLOOKUP(E490&amp;"|"&amp;H490&amp;"", DB!$A:$N, 6, FALSE)="-"), "", VLOOKUP(E490&amp;"|"&amp;H490&amp;"", DB!$A:$N, 6, FALSE)), ""))</f>
        <v/>
      </c>
      <c r="K490" s="35"/>
      <c r="L490" s="35"/>
      <c r="M490" s="35"/>
      <c r="N490" s="35" t="str">
        <f t="shared" si="7"/>
        <v/>
      </c>
      <c r="O490" s="34"/>
      <c r="P490" s="34"/>
      <c r="Q490" s="34"/>
      <c r="R490" s="34"/>
      <c r="S490" s="34"/>
      <c r="T490" s="34"/>
      <c r="U490" s="34"/>
      <c r="V490" s="34"/>
    </row>
    <row r="491" spans="1:22">
      <c r="A491" s="35"/>
      <c r="B491" s="3"/>
      <c r="C491" s="35"/>
      <c r="D491" s="34"/>
      <c r="E491" s="34"/>
      <c r="F491" s="35"/>
      <c r="G491" s="35"/>
      <c r="H491" s="3"/>
      <c r="I491" s="35"/>
      <c r="J491" s="35" t="str">
        <f>IF(OR(TRIM(E491)="", TRIM(H491)=""), "", IFERROR(IF(OR(VLOOKUP(E491&amp;"|"&amp;H491&amp;"", DB!$A:$N, 6, FALSE)="", VLOOKUP(E491&amp;"|"&amp;H491&amp;"", DB!$A:$N, 6, FALSE)="-"), "", VLOOKUP(E491&amp;"|"&amp;H491&amp;"", DB!$A:$N, 6, FALSE)), ""))</f>
        <v/>
      </c>
      <c r="K491" s="35"/>
      <c r="L491" s="35"/>
      <c r="M491" s="35"/>
      <c r="N491" s="35" t="str">
        <f t="shared" si="7"/>
        <v/>
      </c>
      <c r="O491" s="34"/>
      <c r="P491" s="34"/>
      <c r="Q491" s="34"/>
      <c r="R491" s="34"/>
      <c r="S491" s="34"/>
      <c r="T491" s="34"/>
      <c r="U491" s="34"/>
      <c r="V491" s="34"/>
    </row>
    <row r="492" spans="1:22">
      <c r="A492" s="35"/>
      <c r="B492" s="3"/>
      <c r="C492" s="35"/>
      <c r="D492" s="34"/>
      <c r="E492" s="34"/>
      <c r="F492" s="35"/>
      <c r="G492" s="35"/>
      <c r="H492" s="3"/>
      <c r="I492" s="35"/>
      <c r="J492" s="35" t="str">
        <f>IF(OR(TRIM(E492)="", TRIM(H492)=""), "", IFERROR(IF(OR(VLOOKUP(E492&amp;"|"&amp;H492&amp;"", DB!$A:$N, 6, FALSE)="", VLOOKUP(E492&amp;"|"&amp;H492&amp;"", DB!$A:$N, 6, FALSE)="-"), "", VLOOKUP(E492&amp;"|"&amp;H492&amp;"", DB!$A:$N, 6, FALSE)), ""))</f>
        <v/>
      </c>
      <c r="K492" s="35"/>
      <c r="L492" s="35"/>
      <c r="M492" s="35"/>
      <c r="N492" s="35" t="str">
        <f t="shared" si="7"/>
        <v/>
      </c>
      <c r="O492" s="34"/>
      <c r="P492" s="34"/>
      <c r="Q492" s="34"/>
      <c r="R492" s="34"/>
      <c r="S492" s="34"/>
      <c r="T492" s="34"/>
      <c r="U492" s="34"/>
      <c r="V492" s="34"/>
    </row>
    <row r="493" spans="1:22">
      <c r="A493" s="35"/>
      <c r="B493" s="3"/>
      <c r="C493" s="35"/>
      <c r="D493" s="34"/>
      <c r="E493" s="34"/>
      <c r="F493" s="35"/>
      <c r="G493" s="35"/>
      <c r="H493" s="3"/>
      <c r="I493" s="35"/>
      <c r="J493" s="35" t="str">
        <f>IF(OR(TRIM(E493)="", TRIM(H493)=""), "", IFERROR(IF(OR(VLOOKUP(E493&amp;"|"&amp;H493&amp;"", DB!$A:$N, 6, FALSE)="", VLOOKUP(E493&amp;"|"&amp;H493&amp;"", DB!$A:$N, 6, FALSE)="-"), "", VLOOKUP(E493&amp;"|"&amp;H493&amp;"", DB!$A:$N, 6, FALSE)), ""))</f>
        <v/>
      </c>
      <c r="K493" s="35"/>
      <c r="L493" s="35"/>
      <c r="M493" s="35"/>
      <c r="N493" s="35" t="str">
        <f t="shared" si="7"/>
        <v/>
      </c>
      <c r="O493" s="34"/>
      <c r="P493" s="34"/>
      <c r="Q493" s="34"/>
      <c r="R493" s="34"/>
      <c r="S493" s="34"/>
      <c r="T493" s="34"/>
      <c r="U493" s="34"/>
      <c r="V493" s="34"/>
    </row>
    <row r="494" spans="1:22">
      <c r="A494" s="35"/>
      <c r="B494" s="3"/>
      <c r="C494" s="35"/>
      <c r="D494" s="34"/>
      <c r="E494" s="34"/>
      <c r="F494" s="35"/>
      <c r="G494" s="35"/>
      <c r="H494" s="3"/>
      <c r="I494" s="35"/>
      <c r="J494" s="35" t="str">
        <f>IF(OR(TRIM(E494)="", TRIM(H494)=""), "", IFERROR(IF(OR(VLOOKUP(E494&amp;"|"&amp;H494&amp;"", DB!$A:$N, 6, FALSE)="", VLOOKUP(E494&amp;"|"&amp;H494&amp;"", DB!$A:$N, 6, FALSE)="-"), "", VLOOKUP(E494&amp;"|"&amp;H494&amp;"", DB!$A:$N, 6, FALSE)), ""))</f>
        <v/>
      </c>
      <c r="K494" s="35"/>
      <c r="L494" s="35"/>
      <c r="M494" s="35"/>
      <c r="N494" s="35" t="str">
        <f t="shared" si="7"/>
        <v/>
      </c>
      <c r="O494" s="34"/>
      <c r="P494" s="34"/>
      <c r="Q494" s="34"/>
      <c r="R494" s="34"/>
      <c r="S494" s="34"/>
      <c r="T494" s="34"/>
      <c r="U494" s="34"/>
      <c r="V494" s="34"/>
    </row>
    <row r="495" spans="1:22">
      <c r="A495" s="35"/>
      <c r="B495" s="3"/>
      <c r="C495" s="35"/>
      <c r="D495" s="34"/>
      <c r="E495" s="34"/>
      <c r="F495" s="35"/>
      <c r="G495" s="35"/>
      <c r="H495" s="3"/>
      <c r="I495" s="35"/>
      <c r="J495" s="35" t="str">
        <f>IF(OR(TRIM(E495)="", TRIM(H495)=""), "", IFERROR(IF(OR(VLOOKUP(E495&amp;"|"&amp;H495&amp;"", DB!$A:$N, 6, FALSE)="", VLOOKUP(E495&amp;"|"&amp;H495&amp;"", DB!$A:$N, 6, FALSE)="-"), "", VLOOKUP(E495&amp;"|"&amp;H495&amp;"", DB!$A:$N, 6, FALSE)), ""))</f>
        <v/>
      </c>
      <c r="K495" s="35"/>
      <c r="L495" s="35"/>
      <c r="M495" s="35"/>
      <c r="N495" s="35" t="str">
        <f t="shared" si="7"/>
        <v/>
      </c>
      <c r="O495" s="34"/>
      <c r="P495" s="34"/>
      <c r="Q495" s="34"/>
      <c r="R495" s="34"/>
      <c r="S495" s="34"/>
      <c r="T495" s="34"/>
      <c r="U495" s="34"/>
      <c r="V495" s="34"/>
    </row>
    <row r="496" spans="1:22">
      <c r="A496" s="35"/>
      <c r="B496" s="3"/>
      <c r="C496" s="35"/>
      <c r="D496" s="34"/>
      <c r="E496" s="34"/>
      <c r="F496" s="35"/>
      <c r="G496" s="35"/>
      <c r="H496" s="3"/>
      <c r="I496" s="35"/>
      <c r="J496" s="35" t="str">
        <f>IF(OR(TRIM(E496)="", TRIM(H496)=""), "", IFERROR(IF(OR(VLOOKUP(E496&amp;"|"&amp;H496&amp;"", DB!$A:$N, 6, FALSE)="", VLOOKUP(E496&amp;"|"&amp;H496&amp;"", DB!$A:$N, 6, FALSE)="-"), "", VLOOKUP(E496&amp;"|"&amp;H496&amp;"", DB!$A:$N, 6, FALSE)), ""))</f>
        <v/>
      </c>
      <c r="K496" s="35"/>
      <c r="L496" s="35"/>
      <c r="M496" s="35"/>
      <c r="N496" s="35" t="str">
        <f t="shared" si="7"/>
        <v/>
      </c>
      <c r="O496" s="34"/>
      <c r="P496" s="34"/>
      <c r="Q496" s="34"/>
      <c r="R496" s="34"/>
      <c r="S496" s="34"/>
      <c r="T496" s="34"/>
      <c r="U496" s="34"/>
      <c r="V496" s="34"/>
    </row>
    <row r="497" spans="1:22">
      <c r="A497" s="35"/>
      <c r="B497" s="3"/>
      <c r="C497" s="35"/>
      <c r="D497" s="34"/>
      <c r="E497" s="34"/>
      <c r="F497" s="35"/>
      <c r="G497" s="35"/>
      <c r="H497" s="3"/>
      <c r="I497" s="35"/>
      <c r="J497" s="35" t="str">
        <f>IF(OR(TRIM(E497)="", TRIM(H497)=""), "", IFERROR(IF(OR(VLOOKUP(E497&amp;"|"&amp;H497&amp;"", DB!$A:$N, 6, FALSE)="", VLOOKUP(E497&amp;"|"&amp;H497&amp;"", DB!$A:$N, 6, FALSE)="-"), "", VLOOKUP(E497&amp;"|"&amp;H497&amp;"", DB!$A:$N, 6, FALSE)), ""))</f>
        <v/>
      </c>
      <c r="K497" s="35"/>
      <c r="L497" s="35"/>
      <c r="M497" s="35"/>
      <c r="N497" s="35" t="str">
        <f t="shared" si="7"/>
        <v/>
      </c>
      <c r="O497" s="34"/>
      <c r="P497" s="34"/>
      <c r="Q497" s="34"/>
      <c r="R497" s="34"/>
      <c r="S497" s="34"/>
      <c r="T497" s="34"/>
      <c r="U497" s="34"/>
      <c r="V497" s="34"/>
    </row>
    <row r="498" spans="1:22">
      <c r="A498" s="35"/>
      <c r="B498" s="3"/>
      <c r="C498" s="35"/>
      <c r="D498" s="34"/>
      <c r="E498" s="34"/>
      <c r="F498" s="35"/>
      <c r="G498" s="35"/>
      <c r="H498" s="3"/>
      <c r="I498" s="35"/>
      <c r="J498" s="35" t="str">
        <f>IF(OR(TRIM(E498)="", TRIM(H498)=""), "", IFERROR(IF(OR(VLOOKUP(E498&amp;"|"&amp;H498&amp;"", DB!$A:$N, 6, FALSE)="", VLOOKUP(E498&amp;"|"&amp;H498&amp;"", DB!$A:$N, 6, FALSE)="-"), "", VLOOKUP(E498&amp;"|"&amp;H498&amp;"", DB!$A:$N, 6, FALSE)), ""))</f>
        <v/>
      </c>
      <c r="K498" s="35"/>
      <c r="L498" s="35"/>
      <c r="M498" s="35"/>
      <c r="N498" s="35" t="str">
        <f t="shared" si="7"/>
        <v/>
      </c>
      <c r="O498" s="34"/>
      <c r="P498" s="34"/>
      <c r="Q498" s="34"/>
      <c r="R498" s="34"/>
      <c r="S498" s="34"/>
      <c r="T498" s="34"/>
      <c r="U498" s="34"/>
      <c r="V498" s="34"/>
    </row>
    <row r="499" spans="1:22">
      <c r="A499" s="35"/>
      <c r="B499" s="3"/>
      <c r="C499" s="35"/>
      <c r="D499" s="34"/>
      <c r="E499" s="34"/>
      <c r="F499" s="35"/>
      <c r="G499" s="35"/>
      <c r="H499" s="3"/>
      <c r="I499" s="35"/>
      <c r="J499" s="35" t="str">
        <f>IF(OR(TRIM(E499)="", TRIM(H499)=""), "", IFERROR(IF(OR(VLOOKUP(E499&amp;"|"&amp;H499&amp;"", DB!$A:$N, 6, FALSE)="", VLOOKUP(E499&amp;"|"&amp;H499&amp;"", DB!$A:$N, 6, FALSE)="-"), "", VLOOKUP(E499&amp;"|"&amp;H499&amp;"", DB!$A:$N, 6, FALSE)), ""))</f>
        <v/>
      </c>
      <c r="K499" s="35"/>
      <c r="L499" s="35"/>
      <c r="M499" s="35"/>
      <c r="N499" s="35" t="str">
        <f t="shared" si="7"/>
        <v/>
      </c>
      <c r="O499" s="34"/>
      <c r="P499" s="34"/>
      <c r="Q499" s="34"/>
      <c r="R499" s="34"/>
      <c r="S499" s="34"/>
      <c r="T499" s="34"/>
      <c r="U499" s="34"/>
      <c r="V499" s="34"/>
    </row>
    <row r="500" spans="1:22">
      <c r="A500" s="35"/>
      <c r="B500" s="3"/>
      <c r="C500" s="35"/>
      <c r="D500" s="34"/>
      <c r="E500" s="34"/>
      <c r="F500" s="35"/>
      <c r="G500" s="35"/>
      <c r="H500" s="3"/>
      <c r="I500" s="35"/>
      <c r="J500" s="35" t="str">
        <f>IF(OR(TRIM(E500)="", TRIM(H500)=""), "", IFERROR(IF(OR(VLOOKUP(E500&amp;"|"&amp;H500&amp;"", DB!$A:$N, 6, FALSE)="", VLOOKUP(E500&amp;"|"&amp;H500&amp;"", DB!$A:$N, 6, FALSE)="-"), "", VLOOKUP(E500&amp;"|"&amp;H500&amp;"", DB!$A:$N, 6, FALSE)), ""))</f>
        <v/>
      </c>
      <c r="K500" s="35"/>
      <c r="L500" s="35"/>
      <c r="M500" s="35"/>
      <c r="N500" s="35" t="str">
        <f t="shared" si="7"/>
        <v/>
      </c>
      <c r="O500" s="34"/>
      <c r="P500" s="34"/>
      <c r="Q500" s="34"/>
      <c r="R500" s="34"/>
      <c r="S500" s="34"/>
      <c r="T500" s="34"/>
      <c r="U500" s="34"/>
      <c r="V500" s="34"/>
    </row>
    <row r="501" spans="1:22">
      <c r="A501" s="35"/>
      <c r="B501" s="3"/>
      <c r="C501" s="35"/>
      <c r="D501" s="34"/>
      <c r="E501" s="34"/>
      <c r="F501" s="35"/>
      <c r="G501" s="35"/>
      <c r="H501" s="3"/>
      <c r="I501" s="35"/>
      <c r="J501" s="35" t="str">
        <f>IF(OR(TRIM(E501)="", TRIM(H501)=""), "", IFERROR(IF(OR(VLOOKUP(E501&amp;"|"&amp;H501&amp;"", DB!$A:$N, 6, FALSE)="", VLOOKUP(E501&amp;"|"&amp;H501&amp;"", DB!$A:$N, 6, FALSE)="-"), "", VLOOKUP(E501&amp;"|"&amp;H501&amp;"", DB!$A:$N, 6, FALSE)), ""))</f>
        <v/>
      </c>
      <c r="K501" s="35"/>
      <c r="L501" s="35"/>
      <c r="M501" s="35"/>
      <c r="N501" s="35" t="str">
        <f t="shared" si="7"/>
        <v/>
      </c>
      <c r="O501" s="34"/>
      <c r="P501" s="34"/>
      <c r="Q501" s="34"/>
      <c r="R501" s="34"/>
      <c r="S501" s="34"/>
      <c r="T501" s="34"/>
      <c r="U501" s="34"/>
      <c r="V501" s="34"/>
    </row>
    <row r="502" spans="1:22">
      <c r="A502" s="35"/>
      <c r="B502" s="3"/>
      <c r="C502" s="35"/>
      <c r="D502" s="34"/>
      <c r="E502" s="34"/>
      <c r="F502" s="35"/>
      <c r="G502" s="35"/>
      <c r="H502" s="3"/>
      <c r="I502" s="35"/>
      <c r="J502" s="35" t="str">
        <f>IF(OR(TRIM(E502)="", TRIM(H502)=""), "", IFERROR(IF(OR(VLOOKUP(E502&amp;"|"&amp;H502&amp;"", DB!$A:$N, 6, FALSE)="", VLOOKUP(E502&amp;"|"&amp;H502&amp;"", DB!$A:$N, 6, FALSE)="-"), "", VLOOKUP(E502&amp;"|"&amp;H502&amp;"", DB!$A:$N, 6, FALSE)), ""))</f>
        <v/>
      </c>
      <c r="K502" s="35"/>
      <c r="L502" s="35"/>
      <c r="M502" s="35"/>
      <c r="N502" s="35" t="str">
        <f t="shared" si="7"/>
        <v/>
      </c>
      <c r="O502" s="34"/>
      <c r="P502" s="34"/>
      <c r="Q502" s="34"/>
      <c r="R502" s="34"/>
      <c r="S502" s="34"/>
      <c r="T502" s="34"/>
      <c r="U502" s="34"/>
      <c r="V502" s="34"/>
    </row>
    <row r="503" spans="1:22">
      <c r="A503" s="35"/>
      <c r="B503" s="3"/>
      <c r="C503" s="35"/>
      <c r="D503" s="34"/>
      <c r="E503" s="34"/>
      <c r="F503" s="35"/>
      <c r="G503" s="35"/>
      <c r="H503" s="3"/>
      <c r="I503" s="35"/>
      <c r="J503" s="35" t="str">
        <f>IF(OR(TRIM(E503)="", TRIM(H503)=""), "", IFERROR(IF(OR(VLOOKUP(E503&amp;"|"&amp;H503&amp;"", DB!$A:$N, 6, FALSE)="", VLOOKUP(E503&amp;"|"&amp;H503&amp;"", DB!$A:$N, 6, FALSE)="-"), "", VLOOKUP(E503&amp;"|"&amp;H503&amp;"", DB!$A:$N, 6, FALSE)), ""))</f>
        <v/>
      </c>
      <c r="K503" s="35"/>
      <c r="L503" s="35"/>
      <c r="M503" s="35"/>
      <c r="N503" s="35" t="str">
        <f t="shared" si="7"/>
        <v/>
      </c>
      <c r="O503" s="34"/>
      <c r="P503" s="34"/>
      <c r="Q503" s="34"/>
      <c r="R503" s="34"/>
      <c r="S503" s="34"/>
      <c r="T503" s="34"/>
      <c r="U503" s="34"/>
      <c r="V503" s="34"/>
    </row>
    <row r="504" spans="1:22">
      <c r="A504" s="35"/>
      <c r="B504" s="3"/>
      <c r="C504" s="35"/>
      <c r="D504" s="34"/>
      <c r="E504" s="34"/>
      <c r="F504" s="35"/>
      <c r="G504" s="35"/>
      <c r="H504" s="3"/>
      <c r="I504" s="35"/>
      <c r="J504" s="35" t="str">
        <f>IF(OR(TRIM(E504)="", TRIM(H504)=""), "", IFERROR(IF(OR(VLOOKUP(E504&amp;"|"&amp;H504&amp;"", DB!$A:$N, 6, FALSE)="", VLOOKUP(E504&amp;"|"&amp;H504&amp;"", DB!$A:$N, 6, FALSE)="-"), "", VLOOKUP(E504&amp;"|"&amp;H504&amp;"", DB!$A:$N, 6, FALSE)), ""))</f>
        <v/>
      </c>
      <c r="K504" s="35"/>
      <c r="L504" s="35"/>
      <c r="M504" s="35"/>
      <c r="N504" s="35" t="str">
        <f t="shared" si="7"/>
        <v/>
      </c>
      <c r="O504" s="34"/>
      <c r="P504" s="34"/>
      <c r="Q504" s="34"/>
      <c r="R504" s="34"/>
      <c r="S504" s="34"/>
      <c r="T504" s="34"/>
      <c r="U504" s="34"/>
      <c r="V504" s="34"/>
    </row>
    <row r="505" spans="1:22">
      <c r="A505" s="35"/>
      <c r="B505" s="3"/>
      <c r="C505" s="35"/>
      <c r="D505" s="34"/>
      <c r="E505" s="34"/>
      <c r="F505" s="35"/>
      <c r="G505" s="35"/>
      <c r="H505" s="3"/>
      <c r="I505" s="35"/>
      <c r="J505" s="35" t="str">
        <f>IF(OR(TRIM(E505)="", TRIM(H505)=""), "", IFERROR(IF(OR(VLOOKUP(E505&amp;"|"&amp;H505&amp;"", DB!$A:$N, 6, FALSE)="", VLOOKUP(E505&amp;"|"&amp;H505&amp;"", DB!$A:$N, 6, FALSE)="-"), "", VLOOKUP(E505&amp;"|"&amp;H505&amp;"", DB!$A:$N, 6, FALSE)), ""))</f>
        <v/>
      </c>
      <c r="K505" s="35"/>
      <c r="L505" s="35"/>
      <c r="M505" s="35"/>
      <c r="N505" s="35" t="str">
        <f t="shared" si="7"/>
        <v/>
      </c>
      <c r="O505" s="34"/>
      <c r="P505" s="34"/>
      <c r="Q505" s="34"/>
      <c r="R505" s="34"/>
      <c r="S505" s="34"/>
      <c r="T505" s="34"/>
      <c r="U505" s="34"/>
      <c r="V505" s="34"/>
    </row>
    <row r="506" spans="1:22">
      <c r="A506" s="35"/>
      <c r="B506" s="3"/>
      <c r="C506" s="35"/>
      <c r="D506" s="34"/>
      <c r="E506" s="34"/>
      <c r="F506" s="35"/>
      <c r="G506" s="35"/>
      <c r="H506" s="3"/>
      <c r="I506" s="35"/>
      <c r="J506" s="35" t="str">
        <f>IF(OR(TRIM(E506)="", TRIM(H506)=""), "", IFERROR(IF(OR(VLOOKUP(E506&amp;"|"&amp;H506&amp;"", DB!$A:$N, 6, FALSE)="", VLOOKUP(E506&amp;"|"&amp;H506&amp;"", DB!$A:$N, 6, FALSE)="-"), "", VLOOKUP(E506&amp;"|"&amp;H506&amp;"", DB!$A:$N, 6, FALSE)), ""))</f>
        <v/>
      </c>
      <c r="K506" s="35"/>
      <c r="L506" s="35"/>
      <c r="M506" s="35"/>
      <c r="N506" s="35" t="str">
        <f t="shared" si="7"/>
        <v/>
      </c>
      <c r="O506" s="34"/>
      <c r="P506" s="34"/>
      <c r="Q506" s="34"/>
      <c r="R506" s="34"/>
      <c r="S506" s="34"/>
      <c r="T506" s="34"/>
      <c r="U506" s="34"/>
      <c r="V506" s="34"/>
    </row>
    <row r="507" spans="1:22">
      <c r="A507" s="35"/>
      <c r="B507" s="3"/>
      <c r="C507" s="35"/>
      <c r="D507" s="34"/>
      <c r="E507" s="34"/>
      <c r="F507" s="35"/>
      <c r="G507" s="35"/>
      <c r="H507" s="3"/>
      <c r="I507" s="35"/>
      <c r="J507" s="35" t="str">
        <f>IF(OR(TRIM(E507)="", TRIM(H507)=""), "", IFERROR(IF(OR(VLOOKUP(E507&amp;"|"&amp;H507&amp;"", DB!$A:$N, 6, FALSE)="", VLOOKUP(E507&amp;"|"&amp;H507&amp;"", DB!$A:$N, 6, FALSE)="-"), "", VLOOKUP(E507&amp;"|"&amp;H507&amp;"", DB!$A:$N, 6, FALSE)), ""))</f>
        <v/>
      </c>
      <c r="K507" s="35"/>
      <c r="L507" s="35"/>
      <c r="M507" s="35"/>
      <c r="N507" s="35" t="str">
        <f t="shared" si="7"/>
        <v/>
      </c>
      <c r="O507" s="34"/>
      <c r="P507" s="34"/>
      <c r="Q507" s="34"/>
      <c r="R507" s="34"/>
      <c r="S507" s="34"/>
      <c r="T507" s="34"/>
      <c r="U507" s="34"/>
      <c r="V507" s="34"/>
    </row>
    <row r="508" spans="1:22">
      <c r="A508" s="35"/>
      <c r="B508" s="3"/>
      <c r="C508" s="35"/>
      <c r="D508" s="34"/>
      <c r="E508" s="34"/>
      <c r="F508" s="35"/>
      <c r="G508" s="35"/>
      <c r="H508" s="3"/>
      <c r="I508" s="35"/>
      <c r="J508" s="35" t="str">
        <f>IF(OR(TRIM(E508)="", TRIM(H508)=""), "", IFERROR(IF(OR(VLOOKUP(E508&amp;"|"&amp;H508&amp;"", DB!$A:$N, 6, FALSE)="", VLOOKUP(E508&amp;"|"&amp;H508&amp;"", DB!$A:$N, 6, FALSE)="-"), "", VLOOKUP(E508&amp;"|"&amp;H508&amp;"", DB!$A:$N, 6, FALSE)), ""))</f>
        <v/>
      </c>
      <c r="K508" s="35"/>
      <c r="L508" s="35"/>
      <c r="M508" s="35"/>
      <c r="N508" s="35" t="str">
        <f t="shared" si="7"/>
        <v/>
      </c>
      <c r="O508" s="34"/>
      <c r="P508" s="34"/>
      <c r="Q508" s="34"/>
      <c r="R508" s="34"/>
      <c r="S508" s="34"/>
      <c r="T508" s="34"/>
      <c r="U508" s="34"/>
      <c r="V508" s="34"/>
    </row>
    <row r="509" spans="1:22">
      <c r="A509" s="35"/>
      <c r="B509" s="3"/>
      <c r="C509" s="35"/>
      <c r="D509" s="34"/>
      <c r="E509" s="34"/>
      <c r="F509" s="35"/>
      <c r="G509" s="35"/>
      <c r="H509" s="3"/>
      <c r="I509" s="35"/>
      <c r="J509" s="35" t="str">
        <f>IF(OR(TRIM(E509)="", TRIM(H509)=""), "", IFERROR(IF(OR(VLOOKUP(E509&amp;"|"&amp;H509&amp;"", DB!$A:$N, 6, FALSE)="", VLOOKUP(E509&amp;"|"&amp;H509&amp;"", DB!$A:$N, 6, FALSE)="-"), "", VLOOKUP(E509&amp;"|"&amp;H509&amp;"", DB!$A:$N, 6, FALSE)), ""))</f>
        <v/>
      </c>
      <c r="K509" s="35"/>
      <c r="L509" s="35"/>
      <c r="M509" s="35"/>
      <c r="N509" s="35" t="str">
        <f t="shared" si="7"/>
        <v/>
      </c>
      <c r="O509" s="34"/>
      <c r="P509" s="34"/>
      <c r="Q509" s="34"/>
      <c r="R509" s="34"/>
      <c r="S509" s="34"/>
      <c r="T509" s="34"/>
      <c r="U509" s="34"/>
      <c r="V509" s="34"/>
    </row>
    <row r="510" spans="1:22">
      <c r="A510" s="35"/>
      <c r="B510" s="3"/>
      <c r="C510" s="35"/>
      <c r="D510" s="34"/>
      <c r="E510" s="34"/>
      <c r="F510" s="35"/>
      <c r="G510" s="35"/>
      <c r="H510" s="3"/>
      <c r="I510" s="35"/>
      <c r="J510" s="35" t="str">
        <f>IF(OR(TRIM(E510)="", TRIM(H510)=""), "", IFERROR(IF(OR(VLOOKUP(E510&amp;"|"&amp;H510&amp;"", DB!$A:$N, 6, FALSE)="", VLOOKUP(E510&amp;"|"&amp;H510&amp;"", DB!$A:$N, 6, FALSE)="-"), "", VLOOKUP(E510&amp;"|"&amp;H510&amp;"", DB!$A:$N, 6, FALSE)), ""))</f>
        <v/>
      </c>
      <c r="K510" s="35"/>
      <c r="L510" s="35"/>
      <c r="M510" s="35"/>
      <c r="N510" s="35" t="str">
        <f t="shared" si="7"/>
        <v/>
      </c>
      <c r="O510" s="34"/>
      <c r="P510" s="34"/>
      <c r="Q510" s="34"/>
      <c r="R510" s="34"/>
      <c r="S510" s="34"/>
      <c r="T510" s="34"/>
      <c r="U510" s="34"/>
      <c r="V510" s="34"/>
    </row>
    <row r="511" spans="1:22">
      <c r="A511" s="35"/>
      <c r="B511" s="3"/>
      <c r="C511" s="35"/>
      <c r="D511" s="34"/>
      <c r="E511" s="34"/>
      <c r="F511" s="35"/>
      <c r="G511" s="35"/>
      <c r="H511" s="3"/>
      <c r="I511" s="35"/>
      <c r="J511" s="35" t="str">
        <f>IF(OR(TRIM(E511)="", TRIM(H511)=""), "", IFERROR(IF(OR(VLOOKUP(E511&amp;"|"&amp;H511&amp;"", DB!$A:$N, 6, FALSE)="", VLOOKUP(E511&amp;"|"&amp;H511&amp;"", DB!$A:$N, 6, FALSE)="-"), "", VLOOKUP(E511&amp;"|"&amp;H511&amp;"", DB!$A:$N, 6, FALSE)), ""))</f>
        <v/>
      </c>
      <c r="K511" s="35"/>
      <c r="L511" s="35"/>
      <c r="M511" s="35"/>
      <c r="N511" s="35" t="str">
        <f t="shared" si="7"/>
        <v/>
      </c>
      <c r="O511" s="34"/>
      <c r="P511" s="34"/>
      <c r="Q511" s="34"/>
      <c r="R511" s="34"/>
      <c r="S511" s="34"/>
      <c r="T511" s="34"/>
      <c r="U511" s="34"/>
      <c r="V511" s="34"/>
    </row>
    <row r="512" spans="1:22">
      <c r="A512" s="35"/>
      <c r="B512" s="3"/>
      <c r="C512" s="35"/>
      <c r="D512" s="34"/>
      <c r="E512" s="34"/>
      <c r="F512" s="35"/>
      <c r="G512" s="35"/>
      <c r="H512" s="3"/>
      <c r="I512" s="35"/>
      <c r="J512" s="35" t="str">
        <f>IF(OR(TRIM(E512)="", TRIM(H512)=""), "", IFERROR(IF(OR(VLOOKUP(E512&amp;"|"&amp;H512&amp;"", DB!$A:$N, 6, FALSE)="", VLOOKUP(E512&amp;"|"&amp;H512&amp;"", DB!$A:$N, 6, FALSE)="-"), "", VLOOKUP(E512&amp;"|"&amp;H512&amp;"", DB!$A:$N, 6, FALSE)), ""))</f>
        <v/>
      </c>
      <c r="K512" s="35"/>
      <c r="L512" s="35"/>
      <c r="M512" s="35"/>
      <c r="N512" s="35" t="str">
        <f t="shared" si="7"/>
        <v/>
      </c>
      <c r="O512" s="34"/>
      <c r="P512" s="34"/>
      <c r="Q512" s="34"/>
      <c r="R512" s="34"/>
      <c r="S512" s="34"/>
      <c r="T512" s="34"/>
      <c r="U512" s="34"/>
      <c r="V512" s="34"/>
    </row>
    <row r="513" spans="1:22">
      <c r="A513" s="35"/>
      <c r="B513" s="3"/>
      <c r="C513" s="35"/>
      <c r="D513" s="34"/>
      <c r="E513" s="34"/>
      <c r="F513" s="35"/>
      <c r="G513" s="35"/>
      <c r="H513" s="3"/>
      <c r="I513" s="35"/>
      <c r="J513" s="35" t="str">
        <f>IF(OR(TRIM(E513)="", TRIM(H513)=""), "", IFERROR(IF(OR(VLOOKUP(E513&amp;"|"&amp;H513&amp;"", DB!$A:$N, 6, FALSE)="", VLOOKUP(E513&amp;"|"&amp;H513&amp;"", DB!$A:$N, 6, FALSE)="-"), "", VLOOKUP(E513&amp;"|"&amp;H513&amp;"", DB!$A:$N, 6, FALSE)), ""))</f>
        <v/>
      </c>
      <c r="K513" s="35"/>
      <c r="L513" s="35"/>
      <c r="M513" s="35"/>
      <c r="N513" s="35" t="str">
        <f t="shared" si="7"/>
        <v/>
      </c>
      <c r="O513" s="34"/>
      <c r="P513" s="34"/>
      <c r="Q513" s="34"/>
      <c r="R513" s="34"/>
      <c r="S513" s="34"/>
      <c r="T513" s="34"/>
      <c r="U513" s="34"/>
      <c r="V513" s="34"/>
    </row>
    <row r="514" spans="1:22">
      <c r="A514" s="35"/>
      <c r="B514" s="3"/>
      <c r="C514" s="35"/>
      <c r="D514" s="34"/>
      <c r="E514" s="34"/>
      <c r="F514" s="35"/>
      <c r="G514" s="35"/>
      <c r="H514" s="3"/>
      <c r="I514" s="35"/>
      <c r="J514" s="35" t="str">
        <f>IF(OR(TRIM(E514)="", TRIM(H514)=""), "", IFERROR(IF(OR(VLOOKUP(E514&amp;"|"&amp;H514&amp;"", DB!$A:$N, 6, FALSE)="", VLOOKUP(E514&amp;"|"&amp;H514&amp;"", DB!$A:$N, 6, FALSE)="-"), "", VLOOKUP(E514&amp;"|"&amp;H514&amp;"", DB!$A:$N, 6, FALSE)), ""))</f>
        <v/>
      </c>
      <c r="K514" s="35"/>
      <c r="L514" s="35"/>
      <c r="M514" s="35"/>
      <c r="N514" s="35" t="str">
        <f t="shared" ref="N514:N577" si="8">IF(TRIM(D514)="", "", IF(N(L514)-N(M514)&lt;=0, "X", N(L514)-N(M514)))</f>
        <v/>
      </c>
      <c r="O514" s="34"/>
      <c r="P514" s="34"/>
      <c r="Q514" s="34"/>
      <c r="R514" s="34"/>
      <c r="S514" s="34"/>
      <c r="T514" s="34"/>
      <c r="U514" s="34"/>
      <c r="V514" s="34"/>
    </row>
    <row r="515" spans="1:22">
      <c r="A515" s="35"/>
      <c r="B515" s="3"/>
      <c r="C515" s="35"/>
      <c r="D515" s="34"/>
      <c r="E515" s="34"/>
      <c r="F515" s="35"/>
      <c r="G515" s="35"/>
      <c r="H515" s="3"/>
      <c r="I515" s="35"/>
      <c r="J515" s="35" t="str">
        <f>IF(OR(TRIM(E515)="", TRIM(H515)=""), "", IFERROR(IF(OR(VLOOKUP(E515&amp;"|"&amp;H515&amp;"", DB!$A:$N, 6, FALSE)="", VLOOKUP(E515&amp;"|"&amp;H515&amp;"", DB!$A:$N, 6, FALSE)="-"), "", VLOOKUP(E515&amp;"|"&amp;H515&amp;"", DB!$A:$N, 6, FALSE)), ""))</f>
        <v/>
      </c>
      <c r="K515" s="35"/>
      <c r="L515" s="35"/>
      <c r="M515" s="35"/>
      <c r="N515" s="35" t="str">
        <f t="shared" si="8"/>
        <v/>
      </c>
      <c r="O515" s="34"/>
      <c r="P515" s="34"/>
      <c r="Q515" s="34"/>
      <c r="R515" s="34"/>
      <c r="S515" s="34"/>
      <c r="T515" s="34"/>
      <c r="U515" s="34"/>
      <c r="V515" s="34"/>
    </row>
    <row r="516" spans="1:22">
      <c r="A516" s="35"/>
      <c r="B516" s="3"/>
      <c r="C516" s="35"/>
      <c r="D516" s="34"/>
      <c r="E516" s="34"/>
      <c r="F516" s="35"/>
      <c r="G516" s="35"/>
      <c r="H516" s="3"/>
      <c r="I516" s="35"/>
      <c r="J516" s="35" t="str">
        <f>IF(OR(TRIM(E516)="", TRIM(H516)=""), "", IFERROR(IF(OR(VLOOKUP(E516&amp;"|"&amp;H516&amp;"", DB!$A:$N, 6, FALSE)="", VLOOKUP(E516&amp;"|"&amp;H516&amp;"", DB!$A:$N, 6, FALSE)="-"), "", VLOOKUP(E516&amp;"|"&amp;H516&amp;"", DB!$A:$N, 6, FALSE)), ""))</f>
        <v/>
      </c>
      <c r="K516" s="35"/>
      <c r="L516" s="35"/>
      <c r="M516" s="35"/>
      <c r="N516" s="35" t="str">
        <f t="shared" si="8"/>
        <v/>
      </c>
      <c r="O516" s="34"/>
      <c r="P516" s="34"/>
      <c r="Q516" s="34"/>
      <c r="R516" s="34"/>
      <c r="S516" s="34"/>
      <c r="T516" s="34"/>
      <c r="U516" s="34"/>
      <c r="V516" s="34"/>
    </row>
    <row r="517" spans="1:22">
      <c r="A517" s="35"/>
      <c r="B517" s="3"/>
      <c r="C517" s="35"/>
      <c r="D517" s="34"/>
      <c r="E517" s="34"/>
      <c r="F517" s="35"/>
      <c r="G517" s="35"/>
      <c r="H517" s="3"/>
      <c r="I517" s="35"/>
      <c r="J517" s="35" t="str">
        <f>IF(OR(TRIM(E517)="", TRIM(H517)=""), "", IFERROR(IF(OR(VLOOKUP(E517&amp;"|"&amp;H517&amp;"", DB!$A:$N, 6, FALSE)="", VLOOKUP(E517&amp;"|"&amp;H517&amp;"", DB!$A:$N, 6, FALSE)="-"), "", VLOOKUP(E517&amp;"|"&amp;H517&amp;"", DB!$A:$N, 6, FALSE)), ""))</f>
        <v/>
      </c>
      <c r="K517" s="35"/>
      <c r="L517" s="35"/>
      <c r="M517" s="35"/>
      <c r="N517" s="35" t="str">
        <f t="shared" si="8"/>
        <v/>
      </c>
      <c r="O517" s="34"/>
      <c r="P517" s="34"/>
      <c r="Q517" s="34"/>
      <c r="R517" s="34"/>
      <c r="S517" s="34"/>
      <c r="T517" s="34"/>
      <c r="U517" s="34"/>
      <c r="V517" s="34"/>
    </row>
    <row r="518" spans="1:22">
      <c r="A518" s="35"/>
      <c r="B518" s="3"/>
      <c r="C518" s="35"/>
      <c r="D518" s="34"/>
      <c r="E518" s="34"/>
      <c r="F518" s="35"/>
      <c r="G518" s="35"/>
      <c r="H518" s="3"/>
      <c r="I518" s="35"/>
      <c r="J518" s="35" t="str">
        <f>IF(OR(TRIM(E518)="", TRIM(H518)=""), "", IFERROR(IF(OR(VLOOKUP(E518&amp;"|"&amp;H518&amp;"", DB!$A:$N, 6, FALSE)="", VLOOKUP(E518&amp;"|"&amp;H518&amp;"", DB!$A:$N, 6, FALSE)="-"), "", VLOOKUP(E518&amp;"|"&amp;H518&amp;"", DB!$A:$N, 6, FALSE)), ""))</f>
        <v/>
      </c>
      <c r="K518" s="35"/>
      <c r="L518" s="35"/>
      <c r="M518" s="35"/>
      <c r="N518" s="35" t="str">
        <f t="shared" si="8"/>
        <v/>
      </c>
      <c r="O518" s="34"/>
      <c r="P518" s="34"/>
      <c r="Q518" s="34"/>
      <c r="R518" s="34"/>
      <c r="S518" s="34"/>
      <c r="T518" s="34"/>
      <c r="U518" s="34"/>
      <c r="V518" s="34"/>
    </row>
    <row r="519" spans="1:22">
      <c r="A519" s="35"/>
      <c r="B519" s="3"/>
      <c r="C519" s="35"/>
      <c r="D519" s="34"/>
      <c r="E519" s="34"/>
      <c r="F519" s="35"/>
      <c r="G519" s="35"/>
      <c r="H519" s="3"/>
      <c r="I519" s="35"/>
      <c r="J519" s="35" t="str">
        <f>IF(OR(TRIM(E519)="", TRIM(H519)=""), "", IFERROR(IF(OR(VLOOKUP(E519&amp;"|"&amp;H519&amp;"", DB!$A:$N, 6, FALSE)="", VLOOKUP(E519&amp;"|"&amp;H519&amp;"", DB!$A:$N, 6, FALSE)="-"), "", VLOOKUP(E519&amp;"|"&amp;H519&amp;"", DB!$A:$N, 6, FALSE)), ""))</f>
        <v/>
      </c>
      <c r="K519" s="35"/>
      <c r="L519" s="35"/>
      <c r="M519" s="35"/>
      <c r="N519" s="35" t="str">
        <f t="shared" si="8"/>
        <v/>
      </c>
      <c r="O519" s="34"/>
      <c r="P519" s="34"/>
      <c r="Q519" s="34"/>
      <c r="R519" s="34"/>
      <c r="S519" s="34"/>
      <c r="T519" s="34"/>
      <c r="U519" s="34"/>
      <c r="V519" s="34"/>
    </row>
    <row r="520" spans="1:22">
      <c r="A520" s="35"/>
      <c r="B520" s="3"/>
      <c r="C520" s="35"/>
      <c r="D520" s="34"/>
      <c r="E520" s="34"/>
      <c r="F520" s="35"/>
      <c r="G520" s="35"/>
      <c r="H520" s="3"/>
      <c r="I520" s="35"/>
      <c r="J520" s="35" t="str">
        <f>IF(OR(TRIM(E520)="", TRIM(H520)=""), "", IFERROR(IF(OR(VLOOKUP(E520&amp;"|"&amp;H520&amp;"", DB!$A:$N, 6, FALSE)="", VLOOKUP(E520&amp;"|"&amp;H520&amp;"", DB!$A:$N, 6, FALSE)="-"), "", VLOOKUP(E520&amp;"|"&amp;H520&amp;"", DB!$A:$N, 6, FALSE)), ""))</f>
        <v/>
      </c>
      <c r="K520" s="35"/>
      <c r="L520" s="35"/>
      <c r="M520" s="35"/>
      <c r="N520" s="35" t="str">
        <f t="shared" si="8"/>
        <v/>
      </c>
      <c r="O520" s="34"/>
      <c r="P520" s="34"/>
      <c r="Q520" s="34"/>
      <c r="R520" s="34"/>
      <c r="S520" s="34"/>
      <c r="T520" s="34"/>
      <c r="U520" s="34"/>
      <c r="V520" s="34"/>
    </row>
    <row r="521" spans="1:22">
      <c r="A521" s="35"/>
      <c r="B521" s="3"/>
      <c r="C521" s="35"/>
      <c r="D521" s="34"/>
      <c r="E521" s="34"/>
      <c r="F521" s="35"/>
      <c r="G521" s="35"/>
      <c r="H521" s="3"/>
      <c r="I521" s="35"/>
      <c r="J521" s="35" t="str">
        <f>IF(OR(TRIM(E521)="", TRIM(H521)=""), "", IFERROR(IF(OR(VLOOKUP(E521&amp;"|"&amp;H521&amp;"", DB!$A:$N, 6, FALSE)="", VLOOKUP(E521&amp;"|"&amp;H521&amp;"", DB!$A:$N, 6, FALSE)="-"), "", VLOOKUP(E521&amp;"|"&amp;H521&amp;"", DB!$A:$N, 6, FALSE)), ""))</f>
        <v/>
      </c>
      <c r="K521" s="35"/>
      <c r="L521" s="35"/>
      <c r="M521" s="35"/>
      <c r="N521" s="35" t="str">
        <f t="shared" si="8"/>
        <v/>
      </c>
      <c r="O521" s="34"/>
      <c r="P521" s="34"/>
      <c r="Q521" s="34"/>
      <c r="R521" s="34"/>
      <c r="S521" s="34"/>
      <c r="T521" s="34"/>
      <c r="U521" s="34"/>
      <c r="V521" s="34"/>
    </row>
    <row r="522" spans="1:22">
      <c r="A522" s="35"/>
      <c r="B522" s="3"/>
      <c r="C522" s="35"/>
      <c r="D522" s="34"/>
      <c r="E522" s="34"/>
      <c r="F522" s="35"/>
      <c r="G522" s="35"/>
      <c r="H522" s="3"/>
      <c r="I522" s="35"/>
      <c r="J522" s="35" t="str">
        <f>IF(OR(TRIM(E522)="", TRIM(H522)=""), "", IFERROR(IF(OR(VLOOKUP(E522&amp;"|"&amp;H522&amp;"", DB!$A:$N, 6, FALSE)="", VLOOKUP(E522&amp;"|"&amp;H522&amp;"", DB!$A:$N, 6, FALSE)="-"), "", VLOOKUP(E522&amp;"|"&amp;H522&amp;"", DB!$A:$N, 6, FALSE)), ""))</f>
        <v/>
      </c>
      <c r="K522" s="35"/>
      <c r="L522" s="35"/>
      <c r="M522" s="35"/>
      <c r="N522" s="35" t="str">
        <f t="shared" si="8"/>
        <v/>
      </c>
      <c r="O522" s="34"/>
      <c r="P522" s="34"/>
      <c r="Q522" s="34"/>
      <c r="R522" s="34"/>
      <c r="S522" s="34"/>
      <c r="T522" s="34"/>
      <c r="U522" s="34"/>
      <c r="V522" s="34"/>
    </row>
    <row r="523" spans="1:22">
      <c r="A523" s="35"/>
      <c r="B523" s="3"/>
      <c r="C523" s="35"/>
      <c r="D523" s="34"/>
      <c r="E523" s="34"/>
      <c r="F523" s="35"/>
      <c r="G523" s="35"/>
      <c r="H523" s="3"/>
      <c r="I523" s="35"/>
      <c r="J523" s="35" t="str">
        <f>IF(OR(TRIM(E523)="", TRIM(H523)=""), "", IFERROR(IF(OR(VLOOKUP(E523&amp;"|"&amp;H523&amp;"", DB!$A:$N, 6, FALSE)="", VLOOKUP(E523&amp;"|"&amp;H523&amp;"", DB!$A:$N, 6, FALSE)="-"), "", VLOOKUP(E523&amp;"|"&amp;H523&amp;"", DB!$A:$N, 6, FALSE)), ""))</f>
        <v/>
      </c>
      <c r="K523" s="35"/>
      <c r="L523" s="35"/>
      <c r="M523" s="35"/>
      <c r="N523" s="35" t="str">
        <f t="shared" si="8"/>
        <v/>
      </c>
      <c r="O523" s="34"/>
      <c r="P523" s="34"/>
      <c r="Q523" s="34"/>
      <c r="R523" s="34"/>
      <c r="S523" s="34"/>
      <c r="T523" s="34"/>
      <c r="U523" s="34"/>
      <c r="V523" s="34"/>
    </row>
    <row r="524" spans="1:22">
      <c r="A524" s="35"/>
      <c r="B524" s="3"/>
      <c r="C524" s="35"/>
      <c r="D524" s="34"/>
      <c r="E524" s="34"/>
      <c r="F524" s="35"/>
      <c r="G524" s="35"/>
      <c r="H524" s="3"/>
      <c r="I524" s="35"/>
      <c r="J524" s="35" t="str">
        <f>IF(OR(TRIM(E524)="", TRIM(H524)=""), "", IFERROR(IF(OR(VLOOKUP(E524&amp;"|"&amp;H524&amp;"", DB!$A:$N, 6, FALSE)="", VLOOKUP(E524&amp;"|"&amp;H524&amp;"", DB!$A:$N, 6, FALSE)="-"), "", VLOOKUP(E524&amp;"|"&amp;H524&amp;"", DB!$A:$N, 6, FALSE)), ""))</f>
        <v/>
      </c>
      <c r="K524" s="35"/>
      <c r="L524" s="35"/>
      <c r="M524" s="35"/>
      <c r="N524" s="35" t="str">
        <f t="shared" si="8"/>
        <v/>
      </c>
      <c r="O524" s="34"/>
      <c r="P524" s="34"/>
      <c r="Q524" s="34"/>
      <c r="R524" s="34"/>
      <c r="S524" s="34"/>
      <c r="T524" s="34"/>
      <c r="U524" s="34"/>
      <c r="V524" s="34"/>
    </row>
    <row r="525" spans="1:22">
      <c r="A525" s="35"/>
      <c r="B525" s="3"/>
      <c r="C525" s="35"/>
      <c r="D525" s="34"/>
      <c r="E525" s="34"/>
      <c r="F525" s="35"/>
      <c r="G525" s="35"/>
      <c r="H525" s="3"/>
      <c r="I525" s="35"/>
      <c r="J525" s="35" t="str">
        <f>IF(OR(TRIM(E525)="", TRIM(H525)=""), "", IFERROR(IF(OR(VLOOKUP(E525&amp;"|"&amp;H525&amp;"", DB!$A:$N, 6, FALSE)="", VLOOKUP(E525&amp;"|"&amp;H525&amp;"", DB!$A:$N, 6, FALSE)="-"), "", VLOOKUP(E525&amp;"|"&amp;H525&amp;"", DB!$A:$N, 6, FALSE)), ""))</f>
        <v/>
      </c>
      <c r="K525" s="35"/>
      <c r="L525" s="35"/>
      <c r="M525" s="35"/>
      <c r="N525" s="35" t="str">
        <f t="shared" si="8"/>
        <v/>
      </c>
      <c r="O525" s="34"/>
      <c r="P525" s="34"/>
      <c r="Q525" s="34"/>
      <c r="R525" s="34"/>
      <c r="S525" s="34"/>
      <c r="T525" s="34"/>
      <c r="U525" s="34"/>
      <c r="V525" s="34"/>
    </row>
    <row r="526" spans="1:22">
      <c r="A526" s="35"/>
      <c r="B526" s="3"/>
      <c r="C526" s="35"/>
      <c r="D526" s="34"/>
      <c r="E526" s="34"/>
      <c r="F526" s="35"/>
      <c r="G526" s="35"/>
      <c r="H526" s="3"/>
      <c r="I526" s="35"/>
      <c r="J526" s="35" t="str">
        <f>IF(OR(TRIM(E526)="", TRIM(H526)=""), "", IFERROR(IF(OR(VLOOKUP(E526&amp;"|"&amp;H526&amp;"", DB!$A:$N, 6, FALSE)="", VLOOKUP(E526&amp;"|"&amp;H526&amp;"", DB!$A:$N, 6, FALSE)="-"), "", VLOOKUP(E526&amp;"|"&amp;H526&amp;"", DB!$A:$N, 6, FALSE)), ""))</f>
        <v/>
      </c>
      <c r="K526" s="35"/>
      <c r="L526" s="35"/>
      <c r="M526" s="35"/>
      <c r="N526" s="35" t="str">
        <f t="shared" si="8"/>
        <v/>
      </c>
      <c r="O526" s="34"/>
      <c r="P526" s="34"/>
      <c r="Q526" s="34"/>
      <c r="R526" s="34"/>
      <c r="S526" s="34"/>
      <c r="T526" s="34"/>
      <c r="U526" s="34"/>
      <c r="V526" s="34"/>
    </row>
    <row r="527" spans="1:22">
      <c r="A527" s="35"/>
      <c r="B527" s="3"/>
      <c r="C527" s="35"/>
      <c r="D527" s="34"/>
      <c r="E527" s="34"/>
      <c r="F527" s="35"/>
      <c r="G527" s="35"/>
      <c r="H527" s="3"/>
      <c r="I527" s="35"/>
      <c r="J527" s="35" t="str">
        <f>IF(OR(TRIM(E527)="", TRIM(H527)=""), "", IFERROR(IF(OR(VLOOKUP(E527&amp;"|"&amp;H527&amp;"", DB!$A:$N, 6, FALSE)="", VLOOKUP(E527&amp;"|"&amp;H527&amp;"", DB!$A:$N, 6, FALSE)="-"), "", VLOOKUP(E527&amp;"|"&amp;H527&amp;"", DB!$A:$N, 6, FALSE)), ""))</f>
        <v/>
      </c>
      <c r="K527" s="35"/>
      <c r="L527" s="35"/>
      <c r="M527" s="35"/>
      <c r="N527" s="35" t="str">
        <f t="shared" si="8"/>
        <v/>
      </c>
      <c r="O527" s="34"/>
      <c r="P527" s="34"/>
      <c r="Q527" s="34"/>
      <c r="R527" s="34"/>
      <c r="S527" s="34"/>
      <c r="T527" s="34"/>
      <c r="U527" s="34"/>
      <c r="V527" s="34"/>
    </row>
    <row r="528" spans="1:22">
      <c r="A528" s="35"/>
      <c r="B528" s="3"/>
      <c r="C528" s="35"/>
      <c r="D528" s="34"/>
      <c r="E528" s="34"/>
      <c r="F528" s="35"/>
      <c r="G528" s="35"/>
      <c r="H528" s="3"/>
      <c r="I528" s="35"/>
      <c r="J528" s="35" t="str">
        <f>IF(OR(TRIM(E528)="", TRIM(H528)=""), "", IFERROR(IF(OR(VLOOKUP(E528&amp;"|"&amp;H528&amp;"", DB!$A:$N, 6, FALSE)="", VLOOKUP(E528&amp;"|"&amp;H528&amp;"", DB!$A:$N, 6, FALSE)="-"), "", VLOOKUP(E528&amp;"|"&amp;H528&amp;"", DB!$A:$N, 6, FALSE)), ""))</f>
        <v/>
      </c>
      <c r="K528" s="35"/>
      <c r="L528" s="35"/>
      <c r="M528" s="35"/>
      <c r="N528" s="35" t="str">
        <f t="shared" si="8"/>
        <v/>
      </c>
      <c r="O528" s="34"/>
      <c r="P528" s="34"/>
      <c r="Q528" s="34"/>
      <c r="R528" s="34"/>
      <c r="S528" s="34"/>
      <c r="T528" s="34"/>
      <c r="U528" s="34"/>
      <c r="V528" s="34"/>
    </row>
    <row r="529" spans="1:22">
      <c r="A529" s="35"/>
      <c r="B529" s="3"/>
      <c r="C529" s="35"/>
      <c r="D529" s="34"/>
      <c r="E529" s="34"/>
      <c r="F529" s="35"/>
      <c r="G529" s="35"/>
      <c r="H529" s="3"/>
      <c r="I529" s="35"/>
      <c r="J529" s="35" t="str">
        <f>IF(OR(TRIM(E529)="", TRIM(H529)=""), "", IFERROR(IF(OR(VLOOKUP(E529&amp;"|"&amp;H529&amp;"", DB!$A:$N, 6, FALSE)="", VLOOKUP(E529&amp;"|"&amp;H529&amp;"", DB!$A:$N, 6, FALSE)="-"), "", VLOOKUP(E529&amp;"|"&amp;H529&amp;"", DB!$A:$N, 6, FALSE)), ""))</f>
        <v/>
      </c>
      <c r="K529" s="35"/>
      <c r="L529" s="35"/>
      <c r="M529" s="35"/>
      <c r="N529" s="35" t="str">
        <f t="shared" si="8"/>
        <v/>
      </c>
      <c r="O529" s="34"/>
      <c r="P529" s="34"/>
      <c r="Q529" s="34"/>
      <c r="R529" s="34"/>
      <c r="S529" s="34"/>
      <c r="T529" s="34"/>
      <c r="U529" s="34"/>
      <c r="V529" s="34"/>
    </row>
    <row r="530" spans="1:22">
      <c r="A530" s="35"/>
      <c r="B530" s="3"/>
      <c r="C530" s="35"/>
      <c r="D530" s="34"/>
      <c r="E530" s="34"/>
      <c r="F530" s="35"/>
      <c r="G530" s="35"/>
      <c r="H530" s="3"/>
      <c r="I530" s="35"/>
      <c r="J530" s="35" t="str">
        <f>IF(OR(TRIM(E530)="", TRIM(H530)=""), "", IFERROR(IF(OR(VLOOKUP(E530&amp;"|"&amp;H530&amp;"", DB!$A:$N, 6, FALSE)="", VLOOKUP(E530&amp;"|"&amp;H530&amp;"", DB!$A:$N, 6, FALSE)="-"), "", VLOOKUP(E530&amp;"|"&amp;H530&amp;"", DB!$A:$N, 6, FALSE)), ""))</f>
        <v/>
      </c>
      <c r="K530" s="35"/>
      <c r="L530" s="35"/>
      <c r="M530" s="35"/>
      <c r="N530" s="35" t="str">
        <f t="shared" si="8"/>
        <v/>
      </c>
      <c r="O530" s="34"/>
      <c r="P530" s="34"/>
      <c r="Q530" s="34"/>
      <c r="R530" s="34"/>
      <c r="S530" s="34"/>
      <c r="T530" s="34"/>
      <c r="U530" s="34"/>
      <c r="V530" s="34"/>
    </row>
    <row r="531" spans="1:22">
      <c r="A531" s="35"/>
      <c r="B531" s="3"/>
      <c r="C531" s="35"/>
      <c r="D531" s="34"/>
      <c r="E531" s="34"/>
      <c r="F531" s="35"/>
      <c r="G531" s="35"/>
      <c r="H531" s="3"/>
      <c r="I531" s="35"/>
      <c r="J531" s="35" t="str">
        <f>IF(OR(TRIM(E531)="", TRIM(H531)=""), "", IFERROR(IF(OR(VLOOKUP(E531&amp;"|"&amp;H531&amp;"", DB!$A:$N, 6, FALSE)="", VLOOKUP(E531&amp;"|"&amp;H531&amp;"", DB!$A:$N, 6, FALSE)="-"), "", VLOOKUP(E531&amp;"|"&amp;H531&amp;"", DB!$A:$N, 6, FALSE)), ""))</f>
        <v/>
      </c>
      <c r="K531" s="35"/>
      <c r="L531" s="35"/>
      <c r="M531" s="35"/>
      <c r="N531" s="35" t="str">
        <f t="shared" si="8"/>
        <v/>
      </c>
      <c r="O531" s="34"/>
      <c r="P531" s="34"/>
      <c r="Q531" s="34"/>
      <c r="R531" s="34"/>
      <c r="S531" s="34"/>
      <c r="T531" s="34"/>
      <c r="U531" s="34"/>
      <c r="V531" s="34"/>
    </row>
    <row r="532" spans="1:22">
      <c r="A532" s="35"/>
      <c r="B532" s="3"/>
      <c r="C532" s="35"/>
      <c r="D532" s="34"/>
      <c r="E532" s="34"/>
      <c r="F532" s="35"/>
      <c r="G532" s="35"/>
      <c r="H532" s="3"/>
      <c r="I532" s="35"/>
      <c r="J532" s="35" t="str">
        <f>IF(OR(TRIM(E532)="", TRIM(H532)=""), "", IFERROR(IF(OR(VLOOKUP(E532&amp;"|"&amp;H532&amp;"", DB!$A:$N, 6, FALSE)="", VLOOKUP(E532&amp;"|"&amp;H532&amp;"", DB!$A:$N, 6, FALSE)="-"), "", VLOOKUP(E532&amp;"|"&amp;H532&amp;"", DB!$A:$N, 6, FALSE)), ""))</f>
        <v/>
      </c>
      <c r="K532" s="35"/>
      <c r="L532" s="35"/>
      <c r="M532" s="35"/>
      <c r="N532" s="35" t="str">
        <f t="shared" si="8"/>
        <v/>
      </c>
      <c r="O532" s="34"/>
      <c r="P532" s="34"/>
      <c r="Q532" s="34"/>
      <c r="R532" s="34"/>
      <c r="S532" s="34"/>
      <c r="T532" s="34"/>
      <c r="U532" s="34"/>
      <c r="V532" s="34"/>
    </row>
    <row r="533" spans="1:22">
      <c r="A533" s="35"/>
      <c r="B533" s="3"/>
      <c r="C533" s="35"/>
      <c r="D533" s="34"/>
      <c r="E533" s="34"/>
      <c r="F533" s="35"/>
      <c r="G533" s="35"/>
      <c r="H533" s="3"/>
      <c r="I533" s="35"/>
      <c r="J533" s="35" t="str">
        <f>IF(OR(TRIM(E533)="", TRIM(H533)=""), "", IFERROR(IF(OR(VLOOKUP(E533&amp;"|"&amp;H533&amp;"", DB!$A:$N, 6, FALSE)="", VLOOKUP(E533&amp;"|"&amp;H533&amp;"", DB!$A:$N, 6, FALSE)="-"), "", VLOOKUP(E533&amp;"|"&amp;H533&amp;"", DB!$A:$N, 6, FALSE)), ""))</f>
        <v/>
      </c>
      <c r="K533" s="35"/>
      <c r="L533" s="35"/>
      <c r="M533" s="35"/>
      <c r="N533" s="35" t="str">
        <f t="shared" si="8"/>
        <v/>
      </c>
      <c r="O533" s="34"/>
      <c r="P533" s="34"/>
      <c r="Q533" s="34"/>
      <c r="R533" s="34"/>
      <c r="S533" s="34"/>
      <c r="T533" s="34"/>
      <c r="U533" s="34"/>
      <c r="V533" s="34"/>
    </row>
    <row r="534" spans="1:22">
      <c r="A534" s="35"/>
      <c r="B534" s="3"/>
      <c r="C534" s="35"/>
      <c r="D534" s="34"/>
      <c r="E534" s="34"/>
      <c r="F534" s="35"/>
      <c r="G534" s="35"/>
      <c r="H534" s="3"/>
      <c r="I534" s="35"/>
      <c r="J534" s="35" t="str">
        <f>IF(OR(TRIM(E534)="", TRIM(H534)=""), "", IFERROR(IF(OR(VLOOKUP(E534&amp;"|"&amp;H534&amp;"", DB!$A:$N, 6, FALSE)="", VLOOKUP(E534&amp;"|"&amp;H534&amp;"", DB!$A:$N, 6, FALSE)="-"), "", VLOOKUP(E534&amp;"|"&amp;H534&amp;"", DB!$A:$N, 6, FALSE)), ""))</f>
        <v/>
      </c>
      <c r="K534" s="35"/>
      <c r="L534" s="35"/>
      <c r="M534" s="35"/>
      <c r="N534" s="35" t="str">
        <f t="shared" si="8"/>
        <v/>
      </c>
      <c r="O534" s="34"/>
      <c r="P534" s="34"/>
      <c r="Q534" s="34"/>
      <c r="R534" s="34"/>
      <c r="S534" s="34"/>
      <c r="T534" s="34"/>
      <c r="U534" s="34"/>
      <c r="V534" s="34"/>
    </row>
    <row r="535" spans="1:22">
      <c r="A535" s="35"/>
      <c r="B535" s="3"/>
      <c r="C535" s="35"/>
      <c r="D535" s="34"/>
      <c r="E535" s="34"/>
      <c r="F535" s="35"/>
      <c r="G535" s="35"/>
      <c r="H535" s="3"/>
      <c r="I535" s="35"/>
      <c r="J535" s="35" t="str">
        <f>IF(OR(TRIM(E535)="", TRIM(H535)=""), "", IFERROR(IF(OR(VLOOKUP(E535&amp;"|"&amp;H535&amp;"", DB!$A:$N, 6, FALSE)="", VLOOKUP(E535&amp;"|"&amp;H535&amp;"", DB!$A:$N, 6, FALSE)="-"), "", VLOOKUP(E535&amp;"|"&amp;H535&amp;"", DB!$A:$N, 6, FALSE)), ""))</f>
        <v/>
      </c>
      <c r="K535" s="35"/>
      <c r="L535" s="35"/>
      <c r="M535" s="35"/>
      <c r="N535" s="35" t="str">
        <f t="shared" si="8"/>
        <v/>
      </c>
      <c r="O535" s="34"/>
      <c r="P535" s="34"/>
      <c r="Q535" s="34"/>
      <c r="R535" s="34"/>
      <c r="S535" s="34"/>
      <c r="T535" s="34"/>
      <c r="U535" s="34"/>
      <c r="V535" s="34"/>
    </row>
    <row r="536" spans="1:22">
      <c r="A536" s="35"/>
      <c r="B536" s="3"/>
      <c r="C536" s="35"/>
      <c r="D536" s="34"/>
      <c r="E536" s="34"/>
      <c r="F536" s="35"/>
      <c r="G536" s="35"/>
      <c r="H536" s="3"/>
      <c r="I536" s="35"/>
      <c r="J536" s="35" t="str">
        <f>IF(OR(TRIM(E536)="", TRIM(H536)=""), "", IFERROR(IF(OR(VLOOKUP(E536&amp;"|"&amp;H536&amp;"", DB!$A:$N, 6, FALSE)="", VLOOKUP(E536&amp;"|"&amp;H536&amp;"", DB!$A:$N, 6, FALSE)="-"), "", VLOOKUP(E536&amp;"|"&amp;H536&amp;"", DB!$A:$N, 6, FALSE)), ""))</f>
        <v/>
      </c>
      <c r="K536" s="35"/>
      <c r="L536" s="35"/>
      <c r="M536" s="35"/>
      <c r="N536" s="35" t="str">
        <f t="shared" si="8"/>
        <v/>
      </c>
      <c r="O536" s="34"/>
      <c r="P536" s="34"/>
      <c r="Q536" s="34"/>
      <c r="R536" s="34"/>
      <c r="S536" s="34"/>
      <c r="T536" s="34"/>
      <c r="U536" s="34"/>
      <c r="V536" s="34"/>
    </row>
    <row r="537" spans="1:22">
      <c r="A537" s="35"/>
      <c r="B537" s="3"/>
      <c r="C537" s="35"/>
      <c r="D537" s="34"/>
      <c r="E537" s="34"/>
      <c r="F537" s="35"/>
      <c r="G537" s="35"/>
      <c r="H537" s="3"/>
      <c r="I537" s="35"/>
      <c r="J537" s="35" t="str">
        <f>IF(OR(TRIM(E537)="", TRIM(H537)=""), "", IFERROR(IF(OR(VLOOKUP(E537&amp;"|"&amp;H537&amp;"", DB!$A:$N, 6, FALSE)="", VLOOKUP(E537&amp;"|"&amp;H537&amp;"", DB!$A:$N, 6, FALSE)="-"), "", VLOOKUP(E537&amp;"|"&amp;H537&amp;"", DB!$A:$N, 6, FALSE)), ""))</f>
        <v/>
      </c>
      <c r="K537" s="35"/>
      <c r="L537" s="35"/>
      <c r="M537" s="35"/>
      <c r="N537" s="35" t="str">
        <f t="shared" si="8"/>
        <v/>
      </c>
      <c r="O537" s="34"/>
      <c r="P537" s="34"/>
      <c r="Q537" s="34"/>
      <c r="R537" s="34"/>
      <c r="S537" s="34"/>
      <c r="T537" s="34"/>
      <c r="U537" s="34"/>
      <c r="V537" s="34"/>
    </row>
    <row r="538" spans="1:22">
      <c r="A538" s="35"/>
      <c r="B538" s="3"/>
      <c r="C538" s="35"/>
      <c r="D538" s="34"/>
      <c r="E538" s="34"/>
      <c r="F538" s="35"/>
      <c r="G538" s="35"/>
      <c r="H538" s="3"/>
      <c r="I538" s="35"/>
      <c r="J538" s="35" t="str">
        <f>IF(OR(TRIM(E538)="", TRIM(H538)=""), "", IFERROR(IF(OR(VLOOKUP(E538&amp;"|"&amp;H538&amp;"", DB!$A:$N, 6, FALSE)="", VLOOKUP(E538&amp;"|"&amp;H538&amp;"", DB!$A:$N, 6, FALSE)="-"), "", VLOOKUP(E538&amp;"|"&amp;H538&amp;"", DB!$A:$N, 6, FALSE)), ""))</f>
        <v/>
      </c>
      <c r="K538" s="35"/>
      <c r="L538" s="35"/>
      <c r="M538" s="35"/>
      <c r="N538" s="35" t="str">
        <f t="shared" si="8"/>
        <v/>
      </c>
      <c r="O538" s="34"/>
      <c r="P538" s="34"/>
      <c r="Q538" s="34"/>
      <c r="R538" s="34"/>
      <c r="S538" s="34"/>
      <c r="T538" s="34"/>
      <c r="U538" s="34"/>
      <c r="V538" s="34"/>
    </row>
    <row r="539" spans="1:22">
      <c r="A539" s="35"/>
      <c r="B539" s="3"/>
      <c r="C539" s="35"/>
      <c r="D539" s="34"/>
      <c r="E539" s="34"/>
      <c r="F539" s="35"/>
      <c r="G539" s="35"/>
      <c r="H539" s="3"/>
      <c r="I539" s="35"/>
      <c r="J539" s="35" t="str">
        <f>IF(OR(TRIM(E539)="", TRIM(H539)=""), "", IFERROR(IF(OR(VLOOKUP(E539&amp;"|"&amp;H539&amp;"", DB!$A:$N, 6, FALSE)="", VLOOKUP(E539&amp;"|"&amp;H539&amp;"", DB!$A:$N, 6, FALSE)="-"), "", VLOOKUP(E539&amp;"|"&amp;H539&amp;"", DB!$A:$N, 6, FALSE)), ""))</f>
        <v/>
      </c>
      <c r="K539" s="35"/>
      <c r="L539" s="35"/>
      <c r="M539" s="35"/>
      <c r="N539" s="35" t="str">
        <f t="shared" si="8"/>
        <v/>
      </c>
      <c r="O539" s="34"/>
      <c r="P539" s="34"/>
      <c r="Q539" s="34"/>
      <c r="R539" s="34"/>
      <c r="S539" s="34"/>
      <c r="T539" s="34"/>
      <c r="U539" s="34"/>
      <c r="V539" s="34"/>
    </row>
    <row r="540" spans="1:22">
      <c r="A540" s="35"/>
      <c r="B540" s="3"/>
      <c r="C540" s="35"/>
      <c r="D540" s="34"/>
      <c r="E540" s="34"/>
      <c r="F540" s="35"/>
      <c r="G540" s="35"/>
      <c r="H540" s="3"/>
      <c r="I540" s="35"/>
      <c r="J540" s="35" t="str">
        <f>IF(OR(TRIM(E540)="", TRIM(H540)=""), "", IFERROR(IF(OR(VLOOKUP(E540&amp;"|"&amp;H540&amp;"", DB!$A:$N, 6, FALSE)="", VLOOKUP(E540&amp;"|"&amp;H540&amp;"", DB!$A:$N, 6, FALSE)="-"), "", VLOOKUP(E540&amp;"|"&amp;H540&amp;"", DB!$A:$N, 6, FALSE)), ""))</f>
        <v/>
      </c>
      <c r="K540" s="35"/>
      <c r="L540" s="35"/>
      <c r="M540" s="35"/>
      <c r="N540" s="35" t="str">
        <f t="shared" si="8"/>
        <v/>
      </c>
      <c r="O540" s="34"/>
      <c r="P540" s="34"/>
      <c r="Q540" s="34"/>
      <c r="R540" s="34"/>
      <c r="S540" s="34"/>
      <c r="T540" s="34"/>
      <c r="U540" s="34"/>
      <c r="V540" s="34"/>
    </row>
    <row r="541" spans="1:22">
      <c r="A541" s="35"/>
      <c r="B541" s="3"/>
      <c r="C541" s="35"/>
      <c r="D541" s="34"/>
      <c r="E541" s="34"/>
      <c r="F541" s="35"/>
      <c r="G541" s="35"/>
      <c r="H541" s="3"/>
      <c r="I541" s="35"/>
      <c r="J541" s="35" t="str">
        <f>IF(OR(TRIM(E541)="", TRIM(H541)=""), "", IFERROR(IF(OR(VLOOKUP(E541&amp;"|"&amp;H541&amp;"", DB!$A:$N, 6, FALSE)="", VLOOKUP(E541&amp;"|"&amp;H541&amp;"", DB!$A:$N, 6, FALSE)="-"), "", VLOOKUP(E541&amp;"|"&amp;H541&amp;"", DB!$A:$N, 6, FALSE)), ""))</f>
        <v/>
      </c>
      <c r="K541" s="35"/>
      <c r="L541" s="35"/>
      <c r="M541" s="35"/>
      <c r="N541" s="35" t="str">
        <f t="shared" si="8"/>
        <v/>
      </c>
      <c r="O541" s="34"/>
      <c r="P541" s="34"/>
      <c r="Q541" s="34"/>
      <c r="R541" s="34"/>
      <c r="S541" s="34"/>
      <c r="T541" s="34"/>
      <c r="U541" s="34"/>
      <c r="V541" s="34"/>
    </row>
    <row r="542" spans="1:22">
      <c r="A542" s="35"/>
      <c r="B542" s="3"/>
      <c r="C542" s="35"/>
      <c r="D542" s="34"/>
      <c r="E542" s="34"/>
      <c r="F542" s="35"/>
      <c r="G542" s="35"/>
      <c r="H542" s="3"/>
      <c r="I542" s="35"/>
      <c r="J542" s="35" t="str">
        <f>IF(OR(TRIM(E542)="", TRIM(H542)=""), "", IFERROR(IF(OR(VLOOKUP(E542&amp;"|"&amp;H542&amp;"", DB!$A:$N, 6, FALSE)="", VLOOKUP(E542&amp;"|"&amp;H542&amp;"", DB!$A:$N, 6, FALSE)="-"), "", VLOOKUP(E542&amp;"|"&amp;H542&amp;"", DB!$A:$N, 6, FALSE)), ""))</f>
        <v/>
      </c>
      <c r="K542" s="35"/>
      <c r="L542" s="35"/>
      <c r="M542" s="35"/>
      <c r="N542" s="35" t="str">
        <f t="shared" si="8"/>
        <v/>
      </c>
      <c r="O542" s="34"/>
      <c r="P542" s="34"/>
      <c r="Q542" s="34"/>
      <c r="R542" s="34"/>
      <c r="S542" s="34"/>
      <c r="T542" s="34"/>
      <c r="U542" s="34"/>
      <c r="V542" s="34"/>
    </row>
    <row r="543" spans="1:22">
      <c r="A543" s="35"/>
      <c r="B543" s="3"/>
      <c r="C543" s="35"/>
      <c r="D543" s="34"/>
      <c r="E543" s="34"/>
      <c r="F543" s="35"/>
      <c r="G543" s="35"/>
      <c r="H543" s="3"/>
      <c r="I543" s="35"/>
      <c r="J543" s="35" t="str">
        <f>IF(OR(TRIM(E543)="", TRIM(H543)=""), "", IFERROR(IF(OR(VLOOKUP(E543&amp;"|"&amp;H543&amp;"", DB!$A:$N, 6, FALSE)="", VLOOKUP(E543&amp;"|"&amp;H543&amp;"", DB!$A:$N, 6, FALSE)="-"), "", VLOOKUP(E543&amp;"|"&amp;H543&amp;"", DB!$A:$N, 6, FALSE)), ""))</f>
        <v/>
      </c>
      <c r="K543" s="35"/>
      <c r="L543" s="35"/>
      <c r="M543" s="35"/>
      <c r="N543" s="35" t="str">
        <f t="shared" si="8"/>
        <v/>
      </c>
      <c r="O543" s="34"/>
      <c r="P543" s="34"/>
      <c r="Q543" s="34"/>
      <c r="R543" s="34"/>
      <c r="S543" s="34"/>
      <c r="T543" s="34"/>
      <c r="U543" s="34"/>
      <c r="V543" s="34"/>
    </row>
    <row r="544" spans="1:22">
      <c r="A544" s="35"/>
      <c r="B544" s="3"/>
      <c r="C544" s="35"/>
      <c r="D544" s="34"/>
      <c r="E544" s="34"/>
      <c r="F544" s="35"/>
      <c r="G544" s="35"/>
      <c r="H544" s="3"/>
      <c r="I544" s="35"/>
      <c r="J544" s="35" t="str">
        <f>IF(OR(TRIM(E544)="", TRIM(H544)=""), "", IFERROR(IF(OR(VLOOKUP(E544&amp;"|"&amp;H544&amp;"", DB!$A:$N, 6, FALSE)="", VLOOKUP(E544&amp;"|"&amp;H544&amp;"", DB!$A:$N, 6, FALSE)="-"), "", VLOOKUP(E544&amp;"|"&amp;H544&amp;"", DB!$A:$N, 6, FALSE)), ""))</f>
        <v/>
      </c>
      <c r="K544" s="35"/>
      <c r="L544" s="35"/>
      <c r="M544" s="35"/>
      <c r="N544" s="35" t="str">
        <f t="shared" si="8"/>
        <v/>
      </c>
      <c r="O544" s="34"/>
      <c r="P544" s="34"/>
      <c r="Q544" s="34"/>
      <c r="R544" s="34"/>
      <c r="S544" s="34"/>
      <c r="T544" s="34"/>
      <c r="U544" s="34"/>
      <c r="V544" s="34"/>
    </row>
    <row r="545" spans="1:22">
      <c r="A545" s="35"/>
      <c r="B545" s="3"/>
      <c r="C545" s="35"/>
      <c r="D545" s="34"/>
      <c r="E545" s="34"/>
      <c r="F545" s="35"/>
      <c r="G545" s="35"/>
      <c r="H545" s="3"/>
      <c r="I545" s="35"/>
      <c r="J545" s="35" t="str">
        <f>IF(OR(TRIM(E545)="", TRIM(H545)=""), "", IFERROR(IF(OR(VLOOKUP(E545&amp;"|"&amp;H545&amp;"", DB!$A:$N, 6, FALSE)="", VLOOKUP(E545&amp;"|"&amp;H545&amp;"", DB!$A:$N, 6, FALSE)="-"), "", VLOOKUP(E545&amp;"|"&amp;H545&amp;"", DB!$A:$N, 6, FALSE)), ""))</f>
        <v/>
      </c>
      <c r="K545" s="35"/>
      <c r="L545" s="35"/>
      <c r="M545" s="35"/>
      <c r="N545" s="35" t="str">
        <f t="shared" si="8"/>
        <v/>
      </c>
      <c r="O545" s="34"/>
      <c r="P545" s="34"/>
      <c r="Q545" s="34"/>
      <c r="R545" s="34"/>
      <c r="S545" s="34"/>
      <c r="T545" s="34"/>
      <c r="U545" s="34"/>
      <c r="V545" s="34"/>
    </row>
    <row r="546" spans="1:22">
      <c r="A546" s="35"/>
      <c r="B546" s="3"/>
      <c r="C546" s="35"/>
      <c r="D546" s="34"/>
      <c r="E546" s="34"/>
      <c r="F546" s="35"/>
      <c r="G546" s="35"/>
      <c r="H546" s="3"/>
      <c r="I546" s="35"/>
      <c r="J546" s="35" t="str">
        <f>IF(OR(TRIM(E546)="", TRIM(H546)=""), "", IFERROR(IF(OR(VLOOKUP(E546&amp;"|"&amp;H546&amp;"", DB!$A:$N, 6, FALSE)="", VLOOKUP(E546&amp;"|"&amp;H546&amp;"", DB!$A:$N, 6, FALSE)="-"), "", VLOOKUP(E546&amp;"|"&amp;H546&amp;"", DB!$A:$N, 6, FALSE)), ""))</f>
        <v/>
      </c>
      <c r="K546" s="35"/>
      <c r="L546" s="35"/>
      <c r="M546" s="35"/>
      <c r="N546" s="35" t="str">
        <f t="shared" si="8"/>
        <v/>
      </c>
      <c r="O546" s="34"/>
      <c r="P546" s="34"/>
      <c r="Q546" s="34"/>
      <c r="R546" s="34"/>
      <c r="S546" s="34"/>
      <c r="T546" s="34"/>
      <c r="U546" s="34"/>
      <c r="V546" s="34"/>
    </row>
    <row r="547" spans="1:22">
      <c r="A547" s="35"/>
      <c r="B547" s="3"/>
      <c r="C547" s="35"/>
      <c r="D547" s="34"/>
      <c r="E547" s="34"/>
      <c r="F547" s="35"/>
      <c r="G547" s="35"/>
      <c r="H547" s="3"/>
      <c r="I547" s="35"/>
      <c r="J547" s="35" t="str">
        <f>IF(OR(TRIM(E547)="", TRIM(H547)=""), "", IFERROR(IF(OR(VLOOKUP(E547&amp;"|"&amp;H547&amp;"", DB!$A:$N, 6, FALSE)="", VLOOKUP(E547&amp;"|"&amp;H547&amp;"", DB!$A:$N, 6, FALSE)="-"), "", VLOOKUP(E547&amp;"|"&amp;H547&amp;"", DB!$A:$N, 6, FALSE)), ""))</f>
        <v/>
      </c>
      <c r="K547" s="35"/>
      <c r="L547" s="35"/>
      <c r="M547" s="35"/>
      <c r="N547" s="35" t="str">
        <f t="shared" si="8"/>
        <v/>
      </c>
      <c r="O547" s="34"/>
      <c r="P547" s="34"/>
      <c r="Q547" s="34"/>
      <c r="R547" s="34"/>
      <c r="S547" s="34"/>
      <c r="T547" s="34"/>
      <c r="U547" s="34"/>
      <c r="V547" s="34"/>
    </row>
    <row r="548" spans="1:22">
      <c r="A548" s="35"/>
      <c r="B548" s="3"/>
      <c r="C548" s="35"/>
      <c r="D548" s="34"/>
      <c r="E548" s="34"/>
      <c r="F548" s="35"/>
      <c r="G548" s="35"/>
      <c r="H548" s="3"/>
      <c r="I548" s="35"/>
      <c r="J548" s="35" t="str">
        <f>IF(OR(TRIM(E548)="", TRIM(H548)=""), "", IFERROR(IF(OR(VLOOKUP(E548&amp;"|"&amp;H548&amp;"", DB!$A:$N, 6, FALSE)="", VLOOKUP(E548&amp;"|"&amp;H548&amp;"", DB!$A:$N, 6, FALSE)="-"), "", VLOOKUP(E548&amp;"|"&amp;H548&amp;"", DB!$A:$N, 6, FALSE)), ""))</f>
        <v/>
      </c>
      <c r="K548" s="35"/>
      <c r="L548" s="35"/>
      <c r="M548" s="35"/>
      <c r="N548" s="35" t="str">
        <f t="shared" si="8"/>
        <v/>
      </c>
      <c r="O548" s="34"/>
      <c r="P548" s="34"/>
      <c r="Q548" s="34"/>
      <c r="R548" s="34"/>
      <c r="S548" s="34"/>
      <c r="T548" s="34"/>
      <c r="U548" s="34"/>
      <c r="V548" s="34"/>
    </row>
    <row r="549" spans="1:22">
      <c r="A549" s="35"/>
      <c r="B549" s="3"/>
      <c r="C549" s="35"/>
      <c r="D549" s="34"/>
      <c r="E549" s="34"/>
      <c r="F549" s="35"/>
      <c r="G549" s="35"/>
      <c r="H549" s="3"/>
      <c r="I549" s="35"/>
      <c r="J549" s="35" t="str">
        <f>IF(OR(TRIM(E549)="", TRIM(H549)=""), "", IFERROR(IF(OR(VLOOKUP(E549&amp;"|"&amp;H549&amp;"", DB!$A:$N, 6, FALSE)="", VLOOKUP(E549&amp;"|"&amp;H549&amp;"", DB!$A:$N, 6, FALSE)="-"), "", VLOOKUP(E549&amp;"|"&amp;H549&amp;"", DB!$A:$N, 6, FALSE)), ""))</f>
        <v/>
      </c>
      <c r="K549" s="35"/>
      <c r="L549" s="35"/>
      <c r="M549" s="35"/>
      <c r="N549" s="35" t="str">
        <f t="shared" si="8"/>
        <v/>
      </c>
      <c r="O549" s="34"/>
      <c r="P549" s="34"/>
      <c r="Q549" s="34"/>
      <c r="R549" s="34"/>
      <c r="S549" s="34"/>
      <c r="T549" s="34"/>
      <c r="U549" s="34"/>
      <c r="V549" s="34"/>
    </row>
    <row r="550" spans="1:22">
      <c r="A550" s="35"/>
      <c r="B550" s="3"/>
      <c r="C550" s="35"/>
      <c r="D550" s="34"/>
      <c r="E550" s="34"/>
      <c r="F550" s="35"/>
      <c r="G550" s="35"/>
      <c r="H550" s="3"/>
      <c r="I550" s="35"/>
      <c r="J550" s="35" t="str">
        <f>IF(OR(TRIM(E550)="", TRIM(H550)=""), "", IFERROR(IF(OR(VLOOKUP(E550&amp;"|"&amp;H550&amp;"", DB!$A:$N, 6, FALSE)="", VLOOKUP(E550&amp;"|"&amp;H550&amp;"", DB!$A:$N, 6, FALSE)="-"), "", VLOOKUP(E550&amp;"|"&amp;H550&amp;"", DB!$A:$N, 6, FALSE)), ""))</f>
        <v/>
      </c>
      <c r="K550" s="35"/>
      <c r="L550" s="35"/>
      <c r="M550" s="35"/>
      <c r="N550" s="35" t="str">
        <f t="shared" si="8"/>
        <v/>
      </c>
      <c r="O550" s="34"/>
      <c r="P550" s="34"/>
      <c r="Q550" s="34"/>
      <c r="R550" s="34"/>
      <c r="S550" s="34"/>
      <c r="T550" s="34"/>
      <c r="U550" s="34"/>
      <c r="V550" s="34"/>
    </row>
    <row r="551" spans="1:22">
      <c r="A551" s="35"/>
      <c r="B551" s="3"/>
      <c r="C551" s="35"/>
      <c r="D551" s="34"/>
      <c r="E551" s="34"/>
      <c r="F551" s="35"/>
      <c r="G551" s="35"/>
      <c r="H551" s="3"/>
      <c r="I551" s="35"/>
      <c r="J551" s="35" t="str">
        <f>IF(OR(TRIM(E551)="", TRIM(H551)=""), "", IFERROR(IF(OR(VLOOKUP(E551&amp;"|"&amp;H551&amp;"", DB!$A:$N, 6, FALSE)="", VLOOKUP(E551&amp;"|"&amp;H551&amp;"", DB!$A:$N, 6, FALSE)="-"), "", VLOOKUP(E551&amp;"|"&amp;H551&amp;"", DB!$A:$N, 6, FALSE)), ""))</f>
        <v/>
      </c>
      <c r="K551" s="35"/>
      <c r="L551" s="35"/>
      <c r="M551" s="35"/>
      <c r="N551" s="35" t="str">
        <f t="shared" si="8"/>
        <v/>
      </c>
      <c r="O551" s="34"/>
      <c r="P551" s="34"/>
      <c r="Q551" s="34"/>
      <c r="R551" s="34"/>
      <c r="S551" s="34"/>
      <c r="T551" s="34"/>
      <c r="U551" s="34"/>
      <c r="V551" s="34"/>
    </row>
    <row r="552" spans="1:22">
      <c r="A552" s="35"/>
      <c r="B552" s="3"/>
      <c r="C552" s="35"/>
      <c r="D552" s="34"/>
      <c r="E552" s="34"/>
      <c r="F552" s="35"/>
      <c r="G552" s="35"/>
      <c r="H552" s="3"/>
      <c r="I552" s="35"/>
      <c r="J552" s="35" t="str">
        <f>IF(OR(TRIM(E552)="", TRIM(H552)=""), "", IFERROR(IF(OR(VLOOKUP(E552&amp;"|"&amp;H552&amp;"", DB!$A:$N, 6, FALSE)="", VLOOKUP(E552&amp;"|"&amp;H552&amp;"", DB!$A:$N, 6, FALSE)="-"), "", VLOOKUP(E552&amp;"|"&amp;H552&amp;"", DB!$A:$N, 6, FALSE)), ""))</f>
        <v/>
      </c>
      <c r="K552" s="35"/>
      <c r="L552" s="35"/>
      <c r="M552" s="35"/>
      <c r="N552" s="35" t="str">
        <f t="shared" si="8"/>
        <v/>
      </c>
      <c r="O552" s="34"/>
      <c r="P552" s="34"/>
      <c r="Q552" s="34"/>
      <c r="R552" s="34"/>
      <c r="S552" s="34"/>
      <c r="T552" s="34"/>
      <c r="U552" s="34"/>
      <c r="V552" s="34"/>
    </row>
    <row r="553" spans="1:22">
      <c r="A553" s="35"/>
      <c r="B553" s="3"/>
      <c r="C553" s="35"/>
      <c r="D553" s="34"/>
      <c r="E553" s="34"/>
      <c r="F553" s="35"/>
      <c r="G553" s="35"/>
      <c r="H553" s="3"/>
      <c r="I553" s="35"/>
      <c r="J553" s="35" t="str">
        <f>IF(OR(TRIM(E553)="", TRIM(H553)=""), "", IFERROR(IF(OR(VLOOKUP(E553&amp;"|"&amp;H553&amp;"", DB!$A:$N, 6, FALSE)="", VLOOKUP(E553&amp;"|"&amp;H553&amp;"", DB!$A:$N, 6, FALSE)="-"), "", VLOOKUP(E553&amp;"|"&amp;H553&amp;"", DB!$A:$N, 6, FALSE)), ""))</f>
        <v/>
      </c>
      <c r="K553" s="35"/>
      <c r="L553" s="35"/>
      <c r="M553" s="35"/>
      <c r="N553" s="35" t="str">
        <f t="shared" si="8"/>
        <v/>
      </c>
      <c r="O553" s="34"/>
      <c r="P553" s="34"/>
      <c r="Q553" s="34"/>
      <c r="R553" s="34"/>
      <c r="S553" s="34"/>
      <c r="T553" s="34"/>
      <c r="U553" s="34"/>
      <c r="V553" s="34"/>
    </row>
    <row r="554" spans="1:22">
      <c r="A554" s="35"/>
      <c r="B554" s="3"/>
      <c r="C554" s="35"/>
      <c r="D554" s="34"/>
      <c r="E554" s="34"/>
      <c r="F554" s="35"/>
      <c r="G554" s="35"/>
      <c r="H554" s="3"/>
      <c r="I554" s="35"/>
      <c r="J554" s="35" t="str">
        <f>IF(OR(TRIM(E554)="", TRIM(H554)=""), "", IFERROR(IF(OR(VLOOKUP(E554&amp;"|"&amp;H554&amp;"", DB!$A:$N, 6, FALSE)="", VLOOKUP(E554&amp;"|"&amp;H554&amp;"", DB!$A:$N, 6, FALSE)="-"), "", VLOOKUP(E554&amp;"|"&amp;H554&amp;"", DB!$A:$N, 6, FALSE)), ""))</f>
        <v/>
      </c>
      <c r="K554" s="35"/>
      <c r="L554" s="35"/>
      <c r="M554" s="35"/>
      <c r="N554" s="35" t="str">
        <f t="shared" si="8"/>
        <v/>
      </c>
      <c r="O554" s="34"/>
      <c r="P554" s="34"/>
      <c r="Q554" s="34"/>
      <c r="R554" s="34"/>
      <c r="S554" s="34"/>
      <c r="T554" s="34"/>
      <c r="U554" s="34"/>
      <c r="V554" s="34"/>
    </row>
    <row r="555" spans="1:22">
      <c r="A555" s="35"/>
      <c r="B555" s="3"/>
      <c r="C555" s="35"/>
      <c r="D555" s="34"/>
      <c r="E555" s="34"/>
      <c r="F555" s="35"/>
      <c r="G555" s="35"/>
      <c r="H555" s="3"/>
      <c r="I555" s="35"/>
      <c r="J555" s="35" t="str">
        <f>IF(OR(TRIM(E555)="", TRIM(H555)=""), "", IFERROR(IF(OR(VLOOKUP(E555&amp;"|"&amp;H555&amp;"", DB!$A:$N, 6, FALSE)="", VLOOKUP(E555&amp;"|"&amp;H555&amp;"", DB!$A:$N, 6, FALSE)="-"), "", VLOOKUP(E555&amp;"|"&amp;H555&amp;"", DB!$A:$N, 6, FALSE)), ""))</f>
        <v/>
      </c>
      <c r="K555" s="35"/>
      <c r="L555" s="35"/>
      <c r="M555" s="35"/>
      <c r="N555" s="35" t="str">
        <f t="shared" si="8"/>
        <v/>
      </c>
      <c r="O555" s="34"/>
      <c r="P555" s="34"/>
      <c r="Q555" s="34"/>
      <c r="R555" s="34"/>
      <c r="S555" s="34"/>
      <c r="T555" s="34"/>
      <c r="U555" s="34"/>
      <c r="V555" s="34"/>
    </row>
    <row r="556" spans="1:22">
      <c r="A556" s="35"/>
      <c r="B556" s="3"/>
      <c r="C556" s="35"/>
      <c r="D556" s="34"/>
      <c r="E556" s="34"/>
      <c r="F556" s="35"/>
      <c r="G556" s="35"/>
      <c r="H556" s="3"/>
      <c r="I556" s="35"/>
      <c r="J556" s="35" t="str">
        <f>IF(OR(TRIM(E556)="", TRIM(H556)=""), "", IFERROR(IF(OR(VLOOKUP(E556&amp;"|"&amp;H556&amp;"", DB!$A:$N, 6, FALSE)="", VLOOKUP(E556&amp;"|"&amp;H556&amp;"", DB!$A:$N, 6, FALSE)="-"), "", VLOOKUP(E556&amp;"|"&amp;H556&amp;"", DB!$A:$N, 6, FALSE)), ""))</f>
        <v/>
      </c>
      <c r="K556" s="35"/>
      <c r="L556" s="35"/>
      <c r="M556" s="35"/>
      <c r="N556" s="35" t="str">
        <f t="shared" si="8"/>
        <v/>
      </c>
      <c r="O556" s="34"/>
      <c r="P556" s="34"/>
      <c r="Q556" s="34"/>
      <c r="R556" s="34"/>
      <c r="S556" s="34"/>
      <c r="T556" s="34"/>
      <c r="U556" s="34"/>
      <c r="V556" s="34"/>
    </row>
    <row r="557" spans="1:22">
      <c r="A557" s="35"/>
      <c r="B557" s="3"/>
      <c r="C557" s="35"/>
      <c r="D557" s="34"/>
      <c r="E557" s="34"/>
      <c r="F557" s="35"/>
      <c r="G557" s="35"/>
      <c r="H557" s="3"/>
      <c r="I557" s="35"/>
      <c r="J557" s="35" t="str">
        <f>IF(OR(TRIM(E557)="", TRIM(H557)=""), "", IFERROR(IF(OR(VLOOKUP(E557&amp;"|"&amp;H557&amp;"", DB!$A:$N, 6, FALSE)="", VLOOKUP(E557&amp;"|"&amp;H557&amp;"", DB!$A:$N, 6, FALSE)="-"), "", VLOOKUP(E557&amp;"|"&amp;H557&amp;"", DB!$A:$N, 6, FALSE)), ""))</f>
        <v/>
      </c>
      <c r="K557" s="35"/>
      <c r="L557" s="35"/>
      <c r="M557" s="35"/>
      <c r="N557" s="35" t="str">
        <f t="shared" si="8"/>
        <v/>
      </c>
      <c r="O557" s="34"/>
      <c r="P557" s="34"/>
      <c r="Q557" s="34"/>
      <c r="R557" s="34"/>
      <c r="S557" s="34"/>
      <c r="T557" s="34"/>
      <c r="U557" s="34"/>
      <c r="V557" s="34"/>
    </row>
    <row r="558" spans="1:22">
      <c r="A558" s="35"/>
      <c r="B558" s="3"/>
      <c r="C558" s="35"/>
      <c r="D558" s="34"/>
      <c r="E558" s="34"/>
      <c r="F558" s="35"/>
      <c r="G558" s="35"/>
      <c r="H558" s="3"/>
      <c r="I558" s="35"/>
      <c r="J558" s="35" t="str">
        <f>IF(OR(TRIM(E558)="", TRIM(H558)=""), "", IFERROR(IF(OR(VLOOKUP(E558&amp;"|"&amp;H558&amp;"", DB!$A:$N, 6, FALSE)="", VLOOKUP(E558&amp;"|"&amp;H558&amp;"", DB!$A:$N, 6, FALSE)="-"), "", VLOOKUP(E558&amp;"|"&amp;H558&amp;"", DB!$A:$N, 6, FALSE)), ""))</f>
        <v/>
      </c>
      <c r="K558" s="35"/>
      <c r="L558" s="35"/>
      <c r="M558" s="35"/>
      <c r="N558" s="35" t="str">
        <f t="shared" si="8"/>
        <v/>
      </c>
      <c r="O558" s="34"/>
      <c r="P558" s="34"/>
      <c r="Q558" s="34"/>
      <c r="R558" s="34"/>
      <c r="S558" s="34"/>
      <c r="T558" s="34"/>
      <c r="U558" s="34"/>
      <c r="V558" s="34"/>
    </row>
    <row r="559" spans="1:22">
      <c r="A559" s="35"/>
      <c r="B559" s="3"/>
      <c r="C559" s="35"/>
      <c r="D559" s="34"/>
      <c r="E559" s="34"/>
      <c r="F559" s="35"/>
      <c r="G559" s="35"/>
      <c r="H559" s="3"/>
      <c r="I559" s="35"/>
      <c r="J559" s="35" t="str">
        <f>IF(OR(TRIM(E559)="", TRIM(H559)=""), "", IFERROR(IF(OR(VLOOKUP(E559&amp;"|"&amp;H559&amp;"", DB!$A:$N, 6, FALSE)="", VLOOKUP(E559&amp;"|"&amp;H559&amp;"", DB!$A:$N, 6, FALSE)="-"), "", VLOOKUP(E559&amp;"|"&amp;H559&amp;"", DB!$A:$N, 6, FALSE)), ""))</f>
        <v/>
      </c>
      <c r="K559" s="35"/>
      <c r="L559" s="35"/>
      <c r="M559" s="35"/>
      <c r="N559" s="35" t="str">
        <f t="shared" si="8"/>
        <v/>
      </c>
      <c r="O559" s="34"/>
      <c r="P559" s="34"/>
      <c r="Q559" s="34"/>
      <c r="R559" s="34"/>
      <c r="S559" s="34"/>
      <c r="T559" s="34"/>
      <c r="U559" s="34"/>
      <c r="V559" s="34"/>
    </row>
    <row r="560" spans="1:22">
      <c r="A560" s="35"/>
      <c r="B560" s="3"/>
      <c r="C560" s="35"/>
      <c r="D560" s="34"/>
      <c r="E560" s="34"/>
      <c r="F560" s="35"/>
      <c r="G560" s="35"/>
      <c r="H560" s="3"/>
      <c r="I560" s="35"/>
      <c r="J560" s="35" t="str">
        <f>IF(OR(TRIM(E560)="", TRIM(H560)=""), "", IFERROR(IF(OR(VLOOKUP(E560&amp;"|"&amp;H560&amp;"", DB!$A:$N, 6, FALSE)="", VLOOKUP(E560&amp;"|"&amp;H560&amp;"", DB!$A:$N, 6, FALSE)="-"), "", VLOOKUP(E560&amp;"|"&amp;H560&amp;"", DB!$A:$N, 6, FALSE)), ""))</f>
        <v/>
      </c>
      <c r="K560" s="35"/>
      <c r="L560" s="35"/>
      <c r="M560" s="35"/>
      <c r="N560" s="35" t="str">
        <f t="shared" si="8"/>
        <v/>
      </c>
      <c r="O560" s="34"/>
      <c r="P560" s="34"/>
      <c r="Q560" s="34"/>
      <c r="R560" s="34"/>
      <c r="S560" s="34"/>
      <c r="T560" s="34"/>
      <c r="U560" s="34"/>
      <c r="V560" s="34"/>
    </row>
    <row r="561" spans="1:22">
      <c r="A561" s="35"/>
      <c r="B561" s="3"/>
      <c r="C561" s="35"/>
      <c r="D561" s="34"/>
      <c r="E561" s="34"/>
      <c r="F561" s="35"/>
      <c r="G561" s="35"/>
      <c r="H561" s="3"/>
      <c r="I561" s="35"/>
      <c r="J561" s="35" t="str">
        <f>IF(OR(TRIM(E561)="", TRIM(H561)=""), "", IFERROR(IF(OR(VLOOKUP(E561&amp;"|"&amp;H561&amp;"", DB!$A:$N, 6, FALSE)="", VLOOKUP(E561&amp;"|"&amp;H561&amp;"", DB!$A:$N, 6, FALSE)="-"), "", VLOOKUP(E561&amp;"|"&amp;H561&amp;"", DB!$A:$N, 6, FALSE)), ""))</f>
        <v/>
      </c>
      <c r="K561" s="35"/>
      <c r="L561" s="35"/>
      <c r="M561" s="35"/>
      <c r="N561" s="35" t="str">
        <f t="shared" si="8"/>
        <v/>
      </c>
      <c r="O561" s="34"/>
      <c r="P561" s="34"/>
      <c r="Q561" s="34"/>
      <c r="R561" s="34"/>
      <c r="S561" s="34"/>
      <c r="T561" s="34"/>
      <c r="U561" s="34"/>
      <c r="V561" s="34"/>
    </row>
    <row r="562" spans="1:22">
      <c r="A562" s="35"/>
      <c r="B562" s="3"/>
      <c r="C562" s="35"/>
      <c r="D562" s="34"/>
      <c r="E562" s="34"/>
      <c r="F562" s="35"/>
      <c r="G562" s="35"/>
      <c r="H562" s="3"/>
      <c r="I562" s="35"/>
      <c r="J562" s="35" t="str">
        <f>IF(OR(TRIM(E562)="", TRIM(H562)=""), "", IFERROR(IF(OR(VLOOKUP(E562&amp;"|"&amp;H562&amp;"", DB!$A:$N, 6, FALSE)="", VLOOKUP(E562&amp;"|"&amp;H562&amp;"", DB!$A:$N, 6, FALSE)="-"), "", VLOOKUP(E562&amp;"|"&amp;H562&amp;"", DB!$A:$N, 6, FALSE)), ""))</f>
        <v/>
      </c>
      <c r="K562" s="35"/>
      <c r="L562" s="35"/>
      <c r="M562" s="35"/>
      <c r="N562" s="35" t="str">
        <f t="shared" si="8"/>
        <v/>
      </c>
      <c r="O562" s="34"/>
      <c r="P562" s="34"/>
      <c r="Q562" s="34"/>
      <c r="R562" s="34"/>
      <c r="S562" s="34"/>
      <c r="T562" s="34"/>
      <c r="U562" s="34"/>
      <c r="V562" s="34"/>
    </row>
    <row r="563" spans="1:22">
      <c r="A563" s="35"/>
      <c r="B563" s="3"/>
      <c r="C563" s="35"/>
      <c r="D563" s="34"/>
      <c r="E563" s="34"/>
      <c r="F563" s="35"/>
      <c r="G563" s="35"/>
      <c r="H563" s="3"/>
      <c r="I563" s="35"/>
      <c r="J563" s="35" t="str">
        <f>IF(OR(TRIM(E563)="", TRIM(H563)=""), "", IFERROR(IF(OR(VLOOKUP(E563&amp;"|"&amp;H563&amp;"", DB!$A:$N, 6, FALSE)="", VLOOKUP(E563&amp;"|"&amp;H563&amp;"", DB!$A:$N, 6, FALSE)="-"), "", VLOOKUP(E563&amp;"|"&amp;H563&amp;"", DB!$A:$N, 6, FALSE)), ""))</f>
        <v/>
      </c>
      <c r="K563" s="35"/>
      <c r="L563" s="35"/>
      <c r="M563" s="35"/>
      <c r="N563" s="35" t="str">
        <f t="shared" si="8"/>
        <v/>
      </c>
      <c r="O563" s="34"/>
      <c r="P563" s="34"/>
      <c r="Q563" s="34"/>
      <c r="R563" s="34"/>
      <c r="S563" s="34"/>
      <c r="T563" s="34"/>
      <c r="U563" s="34"/>
      <c r="V563" s="34"/>
    </row>
    <row r="564" spans="1:22">
      <c r="A564" s="35"/>
      <c r="B564" s="3"/>
      <c r="C564" s="35"/>
      <c r="D564" s="34"/>
      <c r="E564" s="34"/>
      <c r="F564" s="35"/>
      <c r="G564" s="35"/>
      <c r="H564" s="3"/>
      <c r="I564" s="35"/>
      <c r="J564" s="35" t="str">
        <f>IF(OR(TRIM(E564)="", TRIM(H564)=""), "", IFERROR(IF(OR(VLOOKUP(E564&amp;"|"&amp;H564&amp;"", DB!$A:$N, 6, FALSE)="", VLOOKUP(E564&amp;"|"&amp;H564&amp;"", DB!$A:$N, 6, FALSE)="-"), "", VLOOKUP(E564&amp;"|"&amp;H564&amp;"", DB!$A:$N, 6, FALSE)), ""))</f>
        <v/>
      </c>
      <c r="K564" s="35"/>
      <c r="L564" s="35"/>
      <c r="M564" s="35"/>
      <c r="N564" s="35" t="str">
        <f t="shared" si="8"/>
        <v/>
      </c>
      <c r="O564" s="34"/>
      <c r="P564" s="34"/>
      <c r="Q564" s="34"/>
      <c r="R564" s="34"/>
      <c r="S564" s="34"/>
      <c r="T564" s="34"/>
      <c r="U564" s="34"/>
      <c r="V564" s="34"/>
    </row>
    <row r="565" spans="1:22">
      <c r="A565" s="35"/>
      <c r="B565" s="3"/>
      <c r="C565" s="35"/>
      <c r="D565" s="34"/>
      <c r="E565" s="34"/>
      <c r="F565" s="35"/>
      <c r="G565" s="35"/>
      <c r="H565" s="3"/>
      <c r="I565" s="35"/>
      <c r="J565" s="35" t="str">
        <f>IF(OR(TRIM(E565)="", TRIM(H565)=""), "", IFERROR(IF(OR(VLOOKUP(E565&amp;"|"&amp;H565&amp;"", DB!$A:$N, 6, FALSE)="", VLOOKUP(E565&amp;"|"&amp;H565&amp;"", DB!$A:$N, 6, FALSE)="-"), "", VLOOKUP(E565&amp;"|"&amp;H565&amp;"", DB!$A:$N, 6, FALSE)), ""))</f>
        <v/>
      </c>
      <c r="K565" s="35"/>
      <c r="L565" s="35"/>
      <c r="M565" s="35"/>
      <c r="N565" s="35" t="str">
        <f t="shared" si="8"/>
        <v/>
      </c>
      <c r="O565" s="34"/>
      <c r="P565" s="34"/>
      <c r="Q565" s="34"/>
      <c r="R565" s="34"/>
      <c r="S565" s="34"/>
      <c r="T565" s="34"/>
      <c r="U565" s="34"/>
      <c r="V565" s="34"/>
    </row>
    <row r="566" spans="1:22">
      <c r="A566" s="35"/>
      <c r="B566" s="3"/>
      <c r="C566" s="35"/>
      <c r="D566" s="34"/>
      <c r="E566" s="34"/>
      <c r="F566" s="35"/>
      <c r="G566" s="35"/>
      <c r="H566" s="3"/>
      <c r="I566" s="35"/>
      <c r="J566" s="35" t="str">
        <f>IF(OR(TRIM(E566)="", TRIM(H566)=""), "", IFERROR(IF(OR(VLOOKUP(E566&amp;"|"&amp;H566&amp;"", DB!$A:$N, 6, FALSE)="", VLOOKUP(E566&amp;"|"&amp;H566&amp;"", DB!$A:$N, 6, FALSE)="-"), "", VLOOKUP(E566&amp;"|"&amp;H566&amp;"", DB!$A:$N, 6, FALSE)), ""))</f>
        <v/>
      </c>
      <c r="K566" s="35"/>
      <c r="L566" s="35"/>
      <c r="M566" s="35"/>
      <c r="N566" s="35" t="str">
        <f t="shared" si="8"/>
        <v/>
      </c>
      <c r="O566" s="34"/>
      <c r="P566" s="34"/>
      <c r="Q566" s="34"/>
      <c r="R566" s="34"/>
      <c r="S566" s="34"/>
      <c r="T566" s="34"/>
      <c r="U566" s="34"/>
      <c r="V566" s="34"/>
    </row>
    <row r="567" spans="1:22">
      <c r="A567" s="35"/>
      <c r="B567" s="3"/>
      <c r="C567" s="35"/>
      <c r="D567" s="34"/>
      <c r="E567" s="34"/>
      <c r="F567" s="35"/>
      <c r="G567" s="35"/>
      <c r="H567" s="3"/>
      <c r="I567" s="35"/>
      <c r="J567" s="35" t="str">
        <f>IF(OR(TRIM(E567)="", TRIM(H567)=""), "", IFERROR(IF(OR(VLOOKUP(E567&amp;"|"&amp;H567&amp;"", DB!$A:$N, 6, FALSE)="", VLOOKUP(E567&amp;"|"&amp;H567&amp;"", DB!$A:$N, 6, FALSE)="-"), "", VLOOKUP(E567&amp;"|"&amp;H567&amp;"", DB!$A:$N, 6, FALSE)), ""))</f>
        <v/>
      </c>
      <c r="K567" s="35"/>
      <c r="L567" s="35"/>
      <c r="M567" s="35"/>
      <c r="N567" s="35" t="str">
        <f t="shared" si="8"/>
        <v/>
      </c>
      <c r="O567" s="34"/>
      <c r="P567" s="34"/>
      <c r="Q567" s="34"/>
      <c r="R567" s="34"/>
      <c r="S567" s="34"/>
      <c r="T567" s="34"/>
      <c r="U567" s="34"/>
      <c r="V567" s="34"/>
    </row>
    <row r="568" spans="1:22">
      <c r="A568" s="35"/>
      <c r="B568" s="3"/>
      <c r="C568" s="35"/>
      <c r="D568" s="34"/>
      <c r="E568" s="34"/>
      <c r="F568" s="35"/>
      <c r="G568" s="35"/>
      <c r="H568" s="3"/>
      <c r="I568" s="35"/>
      <c r="J568" s="35" t="str">
        <f>IF(OR(TRIM(E568)="", TRIM(H568)=""), "", IFERROR(IF(OR(VLOOKUP(E568&amp;"|"&amp;H568&amp;"", DB!$A:$N, 6, FALSE)="", VLOOKUP(E568&amp;"|"&amp;H568&amp;"", DB!$A:$N, 6, FALSE)="-"), "", VLOOKUP(E568&amp;"|"&amp;H568&amp;"", DB!$A:$N, 6, FALSE)), ""))</f>
        <v/>
      </c>
      <c r="K568" s="35"/>
      <c r="L568" s="35"/>
      <c r="M568" s="35"/>
      <c r="N568" s="35" t="str">
        <f t="shared" si="8"/>
        <v/>
      </c>
      <c r="O568" s="34"/>
      <c r="P568" s="34"/>
      <c r="Q568" s="34"/>
      <c r="R568" s="34"/>
      <c r="S568" s="34"/>
      <c r="T568" s="34"/>
      <c r="U568" s="34"/>
      <c r="V568" s="34"/>
    </row>
    <row r="569" spans="1:22">
      <c r="A569" s="35"/>
      <c r="B569" s="3"/>
      <c r="C569" s="35"/>
      <c r="D569" s="34"/>
      <c r="E569" s="34"/>
      <c r="F569" s="35"/>
      <c r="G569" s="35"/>
      <c r="H569" s="3"/>
      <c r="I569" s="35"/>
      <c r="J569" s="35" t="str">
        <f>IF(OR(TRIM(E569)="", TRIM(H569)=""), "", IFERROR(IF(OR(VLOOKUP(E569&amp;"|"&amp;H569&amp;"", DB!$A:$N, 6, FALSE)="", VLOOKUP(E569&amp;"|"&amp;H569&amp;"", DB!$A:$N, 6, FALSE)="-"), "", VLOOKUP(E569&amp;"|"&amp;H569&amp;"", DB!$A:$N, 6, FALSE)), ""))</f>
        <v/>
      </c>
      <c r="K569" s="35"/>
      <c r="L569" s="35"/>
      <c r="M569" s="35"/>
      <c r="N569" s="35" t="str">
        <f t="shared" si="8"/>
        <v/>
      </c>
      <c r="O569" s="34"/>
      <c r="P569" s="34"/>
      <c r="Q569" s="34"/>
      <c r="R569" s="34"/>
      <c r="S569" s="34"/>
      <c r="T569" s="34"/>
      <c r="U569" s="34"/>
      <c r="V569" s="34"/>
    </row>
    <row r="570" spans="1:22">
      <c r="A570" s="35"/>
      <c r="B570" s="3"/>
      <c r="C570" s="35"/>
      <c r="D570" s="34"/>
      <c r="E570" s="34"/>
      <c r="F570" s="35"/>
      <c r="G570" s="35"/>
      <c r="H570" s="3"/>
      <c r="I570" s="35"/>
      <c r="J570" s="35" t="str">
        <f>IF(OR(TRIM(E570)="", TRIM(H570)=""), "", IFERROR(IF(OR(VLOOKUP(E570&amp;"|"&amp;H570&amp;"", DB!$A:$N, 6, FALSE)="", VLOOKUP(E570&amp;"|"&amp;H570&amp;"", DB!$A:$N, 6, FALSE)="-"), "", VLOOKUP(E570&amp;"|"&amp;H570&amp;"", DB!$A:$N, 6, FALSE)), ""))</f>
        <v/>
      </c>
      <c r="K570" s="35"/>
      <c r="L570" s="35"/>
      <c r="M570" s="35"/>
      <c r="N570" s="35" t="str">
        <f t="shared" si="8"/>
        <v/>
      </c>
      <c r="O570" s="34"/>
      <c r="P570" s="34"/>
      <c r="Q570" s="34"/>
      <c r="R570" s="34"/>
      <c r="S570" s="34"/>
      <c r="T570" s="34"/>
      <c r="U570" s="34"/>
      <c r="V570" s="34"/>
    </row>
    <row r="571" spans="1:22">
      <c r="A571" s="35"/>
      <c r="B571" s="3"/>
      <c r="C571" s="35"/>
      <c r="D571" s="34"/>
      <c r="E571" s="34"/>
      <c r="F571" s="35"/>
      <c r="G571" s="35"/>
      <c r="H571" s="3"/>
      <c r="I571" s="35"/>
      <c r="J571" s="35" t="str">
        <f>IF(OR(TRIM(E571)="", TRIM(H571)=""), "", IFERROR(IF(OR(VLOOKUP(E571&amp;"|"&amp;H571&amp;"", DB!$A:$N, 6, FALSE)="", VLOOKUP(E571&amp;"|"&amp;H571&amp;"", DB!$A:$N, 6, FALSE)="-"), "", VLOOKUP(E571&amp;"|"&amp;H571&amp;"", DB!$A:$N, 6, FALSE)), ""))</f>
        <v/>
      </c>
      <c r="K571" s="35"/>
      <c r="L571" s="35"/>
      <c r="M571" s="35"/>
      <c r="N571" s="35" t="str">
        <f t="shared" si="8"/>
        <v/>
      </c>
      <c r="O571" s="34"/>
      <c r="P571" s="34"/>
      <c r="Q571" s="34"/>
      <c r="R571" s="34"/>
      <c r="S571" s="34"/>
      <c r="T571" s="34"/>
      <c r="U571" s="34"/>
      <c r="V571" s="34"/>
    </row>
    <row r="572" spans="1:22">
      <c r="A572" s="35"/>
      <c r="B572" s="3"/>
      <c r="C572" s="35"/>
      <c r="D572" s="34"/>
      <c r="E572" s="34"/>
      <c r="F572" s="35"/>
      <c r="G572" s="35"/>
      <c r="H572" s="3"/>
      <c r="I572" s="35"/>
      <c r="J572" s="35" t="str">
        <f>IF(OR(TRIM(E572)="", TRIM(H572)=""), "", IFERROR(IF(OR(VLOOKUP(E572&amp;"|"&amp;H572&amp;"", DB!$A:$N, 6, FALSE)="", VLOOKUP(E572&amp;"|"&amp;H572&amp;"", DB!$A:$N, 6, FALSE)="-"), "", VLOOKUP(E572&amp;"|"&amp;H572&amp;"", DB!$A:$N, 6, FALSE)), ""))</f>
        <v/>
      </c>
      <c r="K572" s="35"/>
      <c r="L572" s="35"/>
      <c r="M572" s="35"/>
      <c r="N572" s="35" t="str">
        <f t="shared" si="8"/>
        <v/>
      </c>
      <c r="O572" s="34"/>
      <c r="P572" s="34"/>
      <c r="Q572" s="34"/>
      <c r="R572" s="34"/>
      <c r="S572" s="34"/>
      <c r="T572" s="34"/>
      <c r="U572" s="34"/>
      <c r="V572" s="34"/>
    </row>
    <row r="573" spans="1:22">
      <c r="A573" s="35"/>
      <c r="B573" s="3"/>
      <c r="C573" s="35"/>
      <c r="D573" s="34"/>
      <c r="E573" s="34"/>
      <c r="F573" s="35"/>
      <c r="G573" s="35"/>
      <c r="H573" s="3"/>
      <c r="I573" s="35"/>
      <c r="J573" s="35" t="str">
        <f>IF(OR(TRIM(E573)="", TRIM(H573)=""), "", IFERROR(IF(OR(VLOOKUP(E573&amp;"|"&amp;H573&amp;"", DB!$A:$N, 6, FALSE)="", VLOOKUP(E573&amp;"|"&amp;H573&amp;"", DB!$A:$N, 6, FALSE)="-"), "", VLOOKUP(E573&amp;"|"&amp;H573&amp;"", DB!$A:$N, 6, FALSE)), ""))</f>
        <v/>
      </c>
      <c r="K573" s="35"/>
      <c r="L573" s="35"/>
      <c r="M573" s="35"/>
      <c r="N573" s="35" t="str">
        <f t="shared" si="8"/>
        <v/>
      </c>
      <c r="O573" s="34"/>
      <c r="P573" s="34"/>
      <c r="Q573" s="34"/>
      <c r="R573" s="34"/>
      <c r="S573" s="34"/>
      <c r="T573" s="34"/>
      <c r="U573" s="34"/>
      <c r="V573" s="34"/>
    </row>
    <row r="574" spans="1:22">
      <c r="A574" s="35"/>
      <c r="B574" s="3"/>
      <c r="C574" s="35"/>
      <c r="D574" s="34"/>
      <c r="E574" s="34"/>
      <c r="F574" s="35"/>
      <c r="G574" s="35"/>
      <c r="H574" s="3"/>
      <c r="I574" s="35"/>
      <c r="J574" s="35" t="str">
        <f>IF(OR(TRIM(E574)="", TRIM(H574)=""), "", IFERROR(IF(OR(VLOOKUP(E574&amp;"|"&amp;H574&amp;"", DB!$A:$N, 6, FALSE)="", VLOOKUP(E574&amp;"|"&amp;H574&amp;"", DB!$A:$N, 6, FALSE)="-"), "", VLOOKUP(E574&amp;"|"&amp;H574&amp;"", DB!$A:$N, 6, FALSE)), ""))</f>
        <v/>
      </c>
      <c r="K574" s="35"/>
      <c r="L574" s="35"/>
      <c r="M574" s="35"/>
      <c r="N574" s="35" t="str">
        <f t="shared" si="8"/>
        <v/>
      </c>
      <c r="O574" s="34"/>
      <c r="P574" s="34"/>
      <c r="Q574" s="34"/>
      <c r="R574" s="34"/>
      <c r="S574" s="34"/>
      <c r="T574" s="34"/>
      <c r="U574" s="34"/>
      <c r="V574" s="34"/>
    </row>
    <row r="575" spans="1:22">
      <c r="A575" s="35"/>
      <c r="B575" s="3"/>
      <c r="C575" s="35"/>
      <c r="D575" s="34"/>
      <c r="E575" s="34"/>
      <c r="F575" s="35"/>
      <c r="G575" s="35"/>
      <c r="H575" s="3"/>
      <c r="I575" s="35"/>
      <c r="J575" s="35" t="str">
        <f>IF(OR(TRIM(E575)="", TRIM(H575)=""), "", IFERROR(IF(OR(VLOOKUP(E575&amp;"|"&amp;H575&amp;"", DB!$A:$N, 6, FALSE)="", VLOOKUP(E575&amp;"|"&amp;H575&amp;"", DB!$A:$N, 6, FALSE)="-"), "", VLOOKUP(E575&amp;"|"&amp;H575&amp;"", DB!$A:$N, 6, FALSE)), ""))</f>
        <v/>
      </c>
      <c r="K575" s="35"/>
      <c r="L575" s="35"/>
      <c r="M575" s="35"/>
      <c r="N575" s="35" t="str">
        <f t="shared" si="8"/>
        <v/>
      </c>
      <c r="O575" s="34"/>
      <c r="P575" s="34"/>
      <c r="Q575" s="34"/>
      <c r="R575" s="34"/>
      <c r="S575" s="34"/>
      <c r="T575" s="34"/>
      <c r="U575" s="34"/>
      <c r="V575" s="34"/>
    </row>
    <row r="576" spans="1:22">
      <c r="A576" s="35"/>
      <c r="B576" s="3"/>
      <c r="C576" s="35"/>
      <c r="D576" s="34"/>
      <c r="E576" s="34"/>
      <c r="F576" s="35"/>
      <c r="G576" s="35"/>
      <c r="H576" s="3"/>
      <c r="I576" s="35"/>
      <c r="J576" s="35" t="str">
        <f>IF(OR(TRIM(E576)="", TRIM(H576)=""), "", IFERROR(IF(OR(VLOOKUP(E576&amp;"|"&amp;H576&amp;"", DB!$A:$N, 6, FALSE)="", VLOOKUP(E576&amp;"|"&amp;H576&amp;"", DB!$A:$N, 6, FALSE)="-"), "", VLOOKUP(E576&amp;"|"&amp;H576&amp;"", DB!$A:$N, 6, FALSE)), ""))</f>
        <v/>
      </c>
      <c r="K576" s="35"/>
      <c r="L576" s="35"/>
      <c r="M576" s="35"/>
      <c r="N576" s="35" t="str">
        <f t="shared" si="8"/>
        <v/>
      </c>
      <c r="O576" s="34"/>
      <c r="P576" s="34"/>
      <c r="Q576" s="34"/>
      <c r="R576" s="34"/>
      <c r="S576" s="34"/>
      <c r="T576" s="34"/>
      <c r="U576" s="34"/>
      <c r="V576" s="34"/>
    </row>
    <row r="577" spans="1:22">
      <c r="A577" s="35"/>
      <c r="B577" s="3"/>
      <c r="C577" s="35"/>
      <c r="D577" s="34"/>
      <c r="E577" s="34"/>
      <c r="F577" s="35"/>
      <c r="G577" s="35"/>
      <c r="H577" s="3"/>
      <c r="I577" s="35"/>
      <c r="J577" s="35" t="str">
        <f>IF(OR(TRIM(E577)="", TRIM(H577)=""), "", IFERROR(IF(OR(VLOOKUP(E577&amp;"|"&amp;H577&amp;"", DB!$A:$N, 6, FALSE)="", VLOOKUP(E577&amp;"|"&amp;H577&amp;"", DB!$A:$N, 6, FALSE)="-"), "", VLOOKUP(E577&amp;"|"&amp;H577&amp;"", DB!$A:$N, 6, FALSE)), ""))</f>
        <v/>
      </c>
      <c r="K577" s="35"/>
      <c r="L577" s="35"/>
      <c r="M577" s="35"/>
      <c r="N577" s="35" t="str">
        <f t="shared" si="8"/>
        <v/>
      </c>
      <c r="O577" s="34"/>
      <c r="P577" s="34"/>
      <c r="Q577" s="34"/>
      <c r="R577" s="34"/>
      <c r="S577" s="34"/>
      <c r="T577" s="34"/>
      <c r="U577" s="34"/>
      <c r="V577" s="34"/>
    </row>
    <row r="578" spans="1:22">
      <c r="A578" s="35"/>
      <c r="B578" s="3"/>
      <c r="C578" s="35"/>
      <c r="D578" s="34"/>
      <c r="E578" s="34"/>
      <c r="F578" s="35"/>
      <c r="G578" s="35"/>
      <c r="H578" s="3"/>
      <c r="I578" s="35"/>
      <c r="J578" s="35" t="str">
        <f>IF(OR(TRIM(E578)="", TRIM(H578)=""), "", IFERROR(IF(OR(VLOOKUP(E578&amp;"|"&amp;H578&amp;"", DB!$A:$N, 6, FALSE)="", VLOOKUP(E578&amp;"|"&amp;H578&amp;"", DB!$A:$N, 6, FALSE)="-"), "", VLOOKUP(E578&amp;"|"&amp;H578&amp;"", DB!$A:$N, 6, FALSE)), ""))</f>
        <v/>
      </c>
      <c r="K578" s="35"/>
      <c r="L578" s="35"/>
      <c r="M578" s="35"/>
      <c r="N578" s="35" t="str">
        <f t="shared" ref="N578:N641" si="9">IF(TRIM(D578)="", "", IF(N(L578)-N(M578)&lt;=0, "X", N(L578)-N(M578)))</f>
        <v/>
      </c>
      <c r="O578" s="34"/>
      <c r="P578" s="34"/>
      <c r="Q578" s="34"/>
      <c r="R578" s="34"/>
      <c r="S578" s="34"/>
      <c r="T578" s="34"/>
      <c r="U578" s="34"/>
      <c r="V578" s="34"/>
    </row>
    <row r="579" spans="1:22">
      <c r="A579" s="35"/>
      <c r="B579" s="3"/>
      <c r="C579" s="35"/>
      <c r="D579" s="34"/>
      <c r="E579" s="34"/>
      <c r="F579" s="35"/>
      <c r="G579" s="35"/>
      <c r="H579" s="3"/>
      <c r="I579" s="35"/>
      <c r="J579" s="35" t="str">
        <f>IF(OR(TRIM(E579)="", TRIM(H579)=""), "", IFERROR(IF(OR(VLOOKUP(E579&amp;"|"&amp;H579&amp;"", DB!$A:$N, 6, FALSE)="", VLOOKUP(E579&amp;"|"&amp;H579&amp;"", DB!$A:$N, 6, FALSE)="-"), "", VLOOKUP(E579&amp;"|"&amp;H579&amp;"", DB!$A:$N, 6, FALSE)), ""))</f>
        <v/>
      </c>
      <c r="K579" s="35"/>
      <c r="L579" s="35"/>
      <c r="M579" s="35"/>
      <c r="N579" s="35" t="str">
        <f t="shared" si="9"/>
        <v/>
      </c>
      <c r="O579" s="34"/>
      <c r="P579" s="34"/>
      <c r="Q579" s="34"/>
      <c r="R579" s="34"/>
      <c r="S579" s="34"/>
      <c r="T579" s="34"/>
      <c r="U579" s="34"/>
      <c r="V579" s="34"/>
    </row>
    <row r="580" spans="1:22">
      <c r="A580" s="35"/>
      <c r="B580" s="3"/>
      <c r="C580" s="35"/>
      <c r="D580" s="34"/>
      <c r="E580" s="34"/>
      <c r="F580" s="35"/>
      <c r="G580" s="35"/>
      <c r="H580" s="3"/>
      <c r="I580" s="35"/>
      <c r="J580" s="35" t="str">
        <f>IF(OR(TRIM(E580)="", TRIM(H580)=""), "", IFERROR(IF(OR(VLOOKUP(E580&amp;"|"&amp;H580&amp;"", DB!$A:$N, 6, FALSE)="", VLOOKUP(E580&amp;"|"&amp;H580&amp;"", DB!$A:$N, 6, FALSE)="-"), "", VLOOKUP(E580&amp;"|"&amp;H580&amp;"", DB!$A:$N, 6, FALSE)), ""))</f>
        <v/>
      </c>
      <c r="K580" s="35"/>
      <c r="L580" s="35"/>
      <c r="M580" s="35"/>
      <c r="N580" s="35" t="str">
        <f t="shared" si="9"/>
        <v/>
      </c>
      <c r="O580" s="34"/>
      <c r="P580" s="34"/>
      <c r="Q580" s="34"/>
      <c r="R580" s="34"/>
      <c r="S580" s="34"/>
      <c r="T580" s="34"/>
      <c r="U580" s="34"/>
      <c r="V580" s="34"/>
    </row>
    <row r="581" spans="1:22">
      <c r="A581" s="35"/>
      <c r="B581" s="3"/>
      <c r="C581" s="35"/>
      <c r="D581" s="34"/>
      <c r="E581" s="34"/>
      <c r="F581" s="35"/>
      <c r="G581" s="35"/>
      <c r="H581" s="3"/>
      <c r="I581" s="35"/>
      <c r="J581" s="35" t="str">
        <f>IF(OR(TRIM(E581)="", TRIM(H581)=""), "", IFERROR(IF(OR(VLOOKUP(E581&amp;"|"&amp;H581&amp;"", DB!$A:$N, 6, FALSE)="", VLOOKUP(E581&amp;"|"&amp;H581&amp;"", DB!$A:$N, 6, FALSE)="-"), "", VLOOKUP(E581&amp;"|"&amp;H581&amp;"", DB!$A:$N, 6, FALSE)), ""))</f>
        <v/>
      </c>
      <c r="K581" s="35"/>
      <c r="L581" s="35"/>
      <c r="M581" s="35"/>
      <c r="N581" s="35" t="str">
        <f t="shared" si="9"/>
        <v/>
      </c>
      <c r="O581" s="34"/>
      <c r="P581" s="34"/>
      <c r="Q581" s="34"/>
      <c r="R581" s="34"/>
      <c r="S581" s="34"/>
      <c r="T581" s="34"/>
      <c r="U581" s="34"/>
      <c r="V581" s="34"/>
    </row>
    <row r="582" spans="1:22">
      <c r="A582" s="35"/>
      <c r="B582" s="3"/>
      <c r="C582" s="35"/>
      <c r="D582" s="34"/>
      <c r="E582" s="34"/>
      <c r="F582" s="35"/>
      <c r="G582" s="35"/>
      <c r="H582" s="3"/>
      <c r="I582" s="35"/>
      <c r="J582" s="35" t="str">
        <f>IF(OR(TRIM(E582)="", TRIM(H582)=""), "", IFERROR(IF(OR(VLOOKUP(E582&amp;"|"&amp;H582&amp;"", DB!$A:$N, 6, FALSE)="", VLOOKUP(E582&amp;"|"&amp;H582&amp;"", DB!$A:$N, 6, FALSE)="-"), "", VLOOKUP(E582&amp;"|"&amp;H582&amp;"", DB!$A:$N, 6, FALSE)), ""))</f>
        <v/>
      </c>
      <c r="K582" s="35"/>
      <c r="L582" s="35"/>
      <c r="M582" s="35"/>
      <c r="N582" s="35" t="str">
        <f t="shared" si="9"/>
        <v/>
      </c>
      <c r="O582" s="34"/>
      <c r="P582" s="34"/>
      <c r="Q582" s="34"/>
      <c r="R582" s="34"/>
      <c r="S582" s="34"/>
      <c r="T582" s="34"/>
      <c r="U582" s="34"/>
      <c r="V582" s="34"/>
    </row>
    <row r="583" spans="1:22">
      <c r="A583" s="35"/>
      <c r="B583" s="3"/>
      <c r="C583" s="35"/>
      <c r="D583" s="34"/>
      <c r="E583" s="34"/>
      <c r="F583" s="35"/>
      <c r="G583" s="35"/>
      <c r="H583" s="3"/>
      <c r="I583" s="35"/>
      <c r="J583" s="35" t="str">
        <f>IF(OR(TRIM(E583)="", TRIM(H583)=""), "", IFERROR(IF(OR(VLOOKUP(E583&amp;"|"&amp;H583&amp;"", DB!$A:$N, 6, FALSE)="", VLOOKUP(E583&amp;"|"&amp;H583&amp;"", DB!$A:$N, 6, FALSE)="-"), "", VLOOKUP(E583&amp;"|"&amp;H583&amp;"", DB!$A:$N, 6, FALSE)), ""))</f>
        <v/>
      </c>
      <c r="K583" s="35"/>
      <c r="L583" s="35"/>
      <c r="M583" s="35"/>
      <c r="N583" s="35" t="str">
        <f t="shared" si="9"/>
        <v/>
      </c>
      <c r="O583" s="34"/>
      <c r="P583" s="34"/>
      <c r="Q583" s="34"/>
      <c r="R583" s="34"/>
      <c r="S583" s="34"/>
      <c r="T583" s="34"/>
      <c r="U583" s="34"/>
      <c r="V583" s="34"/>
    </row>
    <row r="584" spans="1:22">
      <c r="A584" s="35"/>
      <c r="B584" s="3"/>
      <c r="C584" s="35"/>
      <c r="D584" s="34"/>
      <c r="E584" s="34"/>
      <c r="F584" s="35"/>
      <c r="G584" s="35"/>
      <c r="H584" s="3"/>
      <c r="I584" s="35"/>
      <c r="J584" s="35" t="str">
        <f>IF(OR(TRIM(E584)="", TRIM(H584)=""), "", IFERROR(IF(OR(VLOOKUP(E584&amp;"|"&amp;H584&amp;"", DB!$A:$N, 6, FALSE)="", VLOOKUP(E584&amp;"|"&amp;H584&amp;"", DB!$A:$N, 6, FALSE)="-"), "", VLOOKUP(E584&amp;"|"&amp;H584&amp;"", DB!$A:$N, 6, FALSE)), ""))</f>
        <v/>
      </c>
      <c r="K584" s="35"/>
      <c r="L584" s="35"/>
      <c r="M584" s="35"/>
      <c r="N584" s="35" t="str">
        <f t="shared" si="9"/>
        <v/>
      </c>
      <c r="O584" s="34"/>
      <c r="P584" s="34"/>
      <c r="Q584" s="34"/>
      <c r="R584" s="34"/>
      <c r="S584" s="34"/>
      <c r="T584" s="34"/>
      <c r="U584" s="34"/>
      <c r="V584" s="34"/>
    </row>
    <row r="585" spans="1:22">
      <c r="A585" s="35"/>
      <c r="B585" s="3"/>
      <c r="C585" s="35"/>
      <c r="D585" s="34"/>
      <c r="E585" s="34"/>
      <c r="F585" s="35"/>
      <c r="G585" s="35"/>
      <c r="H585" s="3"/>
      <c r="I585" s="35"/>
      <c r="J585" s="35" t="str">
        <f>IF(OR(TRIM(E585)="", TRIM(H585)=""), "", IFERROR(IF(OR(VLOOKUP(E585&amp;"|"&amp;H585&amp;"", DB!$A:$N, 6, FALSE)="", VLOOKUP(E585&amp;"|"&amp;H585&amp;"", DB!$A:$N, 6, FALSE)="-"), "", VLOOKUP(E585&amp;"|"&amp;H585&amp;"", DB!$A:$N, 6, FALSE)), ""))</f>
        <v/>
      </c>
      <c r="K585" s="35"/>
      <c r="L585" s="35"/>
      <c r="M585" s="35"/>
      <c r="N585" s="35" t="str">
        <f t="shared" si="9"/>
        <v/>
      </c>
      <c r="O585" s="34"/>
      <c r="P585" s="34"/>
      <c r="Q585" s="34"/>
      <c r="R585" s="34"/>
      <c r="S585" s="34"/>
      <c r="T585" s="34"/>
      <c r="U585" s="34"/>
      <c r="V585" s="34"/>
    </row>
    <row r="586" spans="1:22">
      <c r="A586" s="35"/>
      <c r="B586" s="3"/>
      <c r="C586" s="35"/>
      <c r="D586" s="34"/>
      <c r="E586" s="34"/>
      <c r="F586" s="35"/>
      <c r="G586" s="35"/>
      <c r="H586" s="3"/>
      <c r="I586" s="35"/>
      <c r="J586" s="35" t="str">
        <f>IF(OR(TRIM(E586)="", TRIM(H586)=""), "", IFERROR(IF(OR(VLOOKUP(E586&amp;"|"&amp;H586&amp;"", DB!$A:$N, 6, FALSE)="", VLOOKUP(E586&amp;"|"&amp;H586&amp;"", DB!$A:$N, 6, FALSE)="-"), "", VLOOKUP(E586&amp;"|"&amp;H586&amp;"", DB!$A:$N, 6, FALSE)), ""))</f>
        <v/>
      </c>
      <c r="K586" s="35"/>
      <c r="L586" s="35"/>
      <c r="M586" s="35"/>
      <c r="N586" s="35" t="str">
        <f t="shared" si="9"/>
        <v/>
      </c>
      <c r="O586" s="34"/>
      <c r="P586" s="34"/>
      <c r="Q586" s="34"/>
      <c r="R586" s="34"/>
      <c r="S586" s="34"/>
      <c r="T586" s="34"/>
      <c r="U586" s="34"/>
      <c r="V586" s="34"/>
    </row>
    <row r="587" spans="1:22">
      <c r="A587" s="35"/>
      <c r="B587" s="3"/>
      <c r="C587" s="35"/>
      <c r="D587" s="34"/>
      <c r="E587" s="34"/>
      <c r="F587" s="35"/>
      <c r="G587" s="35"/>
      <c r="H587" s="3"/>
      <c r="I587" s="35"/>
      <c r="J587" s="35" t="str">
        <f>IF(OR(TRIM(E587)="", TRIM(H587)=""), "", IFERROR(IF(OR(VLOOKUP(E587&amp;"|"&amp;H587&amp;"", DB!$A:$N, 6, FALSE)="", VLOOKUP(E587&amp;"|"&amp;H587&amp;"", DB!$A:$N, 6, FALSE)="-"), "", VLOOKUP(E587&amp;"|"&amp;H587&amp;"", DB!$A:$N, 6, FALSE)), ""))</f>
        <v/>
      </c>
      <c r="K587" s="35"/>
      <c r="L587" s="35"/>
      <c r="M587" s="35"/>
      <c r="N587" s="35" t="str">
        <f t="shared" si="9"/>
        <v/>
      </c>
      <c r="O587" s="34"/>
      <c r="P587" s="34"/>
      <c r="Q587" s="34"/>
      <c r="R587" s="34"/>
      <c r="S587" s="34"/>
      <c r="T587" s="34"/>
      <c r="U587" s="34"/>
      <c r="V587" s="34"/>
    </row>
    <row r="588" spans="1:22">
      <c r="A588" s="35"/>
      <c r="B588" s="3"/>
      <c r="C588" s="35"/>
      <c r="D588" s="34"/>
      <c r="E588" s="34"/>
      <c r="F588" s="35"/>
      <c r="G588" s="35"/>
      <c r="H588" s="3"/>
      <c r="I588" s="35"/>
      <c r="J588" s="35" t="str">
        <f>IF(OR(TRIM(E588)="", TRIM(H588)=""), "", IFERROR(IF(OR(VLOOKUP(E588&amp;"|"&amp;H588&amp;"", DB!$A:$N, 6, FALSE)="", VLOOKUP(E588&amp;"|"&amp;H588&amp;"", DB!$A:$N, 6, FALSE)="-"), "", VLOOKUP(E588&amp;"|"&amp;H588&amp;"", DB!$A:$N, 6, FALSE)), ""))</f>
        <v/>
      </c>
      <c r="K588" s="35"/>
      <c r="L588" s="35"/>
      <c r="M588" s="35"/>
      <c r="N588" s="35" t="str">
        <f t="shared" si="9"/>
        <v/>
      </c>
      <c r="O588" s="34"/>
      <c r="P588" s="34"/>
      <c r="Q588" s="34"/>
      <c r="R588" s="34"/>
      <c r="S588" s="34"/>
      <c r="T588" s="34"/>
      <c r="U588" s="34"/>
      <c r="V588" s="34"/>
    </row>
    <row r="589" spans="1:22">
      <c r="A589" s="35"/>
      <c r="B589" s="3"/>
      <c r="C589" s="35"/>
      <c r="D589" s="34"/>
      <c r="E589" s="34"/>
      <c r="F589" s="35"/>
      <c r="G589" s="35"/>
      <c r="H589" s="3"/>
      <c r="I589" s="35"/>
      <c r="J589" s="35" t="str">
        <f>IF(OR(TRIM(E589)="", TRIM(H589)=""), "", IFERROR(IF(OR(VLOOKUP(E589&amp;"|"&amp;H589&amp;"", DB!$A:$N, 6, FALSE)="", VLOOKUP(E589&amp;"|"&amp;H589&amp;"", DB!$A:$N, 6, FALSE)="-"), "", VLOOKUP(E589&amp;"|"&amp;H589&amp;"", DB!$A:$N, 6, FALSE)), ""))</f>
        <v/>
      </c>
      <c r="K589" s="35"/>
      <c r="L589" s="35"/>
      <c r="M589" s="35"/>
      <c r="N589" s="35" t="str">
        <f t="shared" si="9"/>
        <v/>
      </c>
      <c r="O589" s="34"/>
      <c r="P589" s="34"/>
      <c r="Q589" s="34"/>
      <c r="R589" s="34"/>
      <c r="S589" s="34"/>
      <c r="T589" s="34"/>
      <c r="U589" s="34"/>
      <c r="V589" s="34"/>
    </row>
    <row r="590" spans="1:22">
      <c r="A590" s="35"/>
      <c r="B590" s="3"/>
      <c r="C590" s="35"/>
      <c r="D590" s="34"/>
      <c r="E590" s="34"/>
      <c r="F590" s="35"/>
      <c r="G590" s="35"/>
      <c r="H590" s="3"/>
      <c r="I590" s="35"/>
      <c r="J590" s="35" t="str">
        <f>IF(OR(TRIM(E590)="", TRIM(H590)=""), "", IFERROR(IF(OR(VLOOKUP(E590&amp;"|"&amp;H590&amp;"", DB!$A:$N, 6, FALSE)="", VLOOKUP(E590&amp;"|"&amp;H590&amp;"", DB!$A:$N, 6, FALSE)="-"), "", VLOOKUP(E590&amp;"|"&amp;H590&amp;"", DB!$A:$N, 6, FALSE)), ""))</f>
        <v/>
      </c>
      <c r="K590" s="35"/>
      <c r="L590" s="35"/>
      <c r="M590" s="35"/>
      <c r="N590" s="35" t="str">
        <f t="shared" si="9"/>
        <v/>
      </c>
      <c r="O590" s="34"/>
      <c r="P590" s="34"/>
      <c r="Q590" s="34"/>
      <c r="R590" s="34"/>
      <c r="S590" s="34"/>
      <c r="T590" s="34"/>
      <c r="U590" s="34"/>
      <c r="V590" s="34"/>
    </row>
    <row r="591" spans="1:22">
      <c r="A591" s="35"/>
      <c r="B591" s="3"/>
      <c r="C591" s="35"/>
      <c r="D591" s="34"/>
      <c r="E591" s="34"/>
      <c r="F591" s="35"/>
      <c r="G591" s="35"/>
      <c r="H591" s="3"/>
      <c r="I591" s="35"/>
      <c r="J591" s="35" t="str">
        <f>IF(OR(TRIM(E591)="", TRIM(H591)=""), "", IFERROR(IF(OR(VLOOKUP(E591&amp;"|"&amp;H591&amp;"", DB!$A:$N, 6, FALSE)="", VLOOKUP(E591&amp;"|"&amp;H591&amp;"", DB!$A:$N, 6, FALSE)="-"), "", VLOOKUP(E591&amp;"|"&amp;H591&amp;"", DB!$A:$N, 6, FALSE)), ""))</f>
        <v/>
      </c>
      <c r="K591" s="35"/>
      <c r="L591" s="35"/>
      <c r="M591" s="35"/>
      <c r="N591" s="35" t="str">
        <f t="shared" si="9"/>
        <v/>
      </c>
      <c r="O591" s="34"/>
      <c r="P591" s="34"/>
      <c r="Q591" s="34"/>
      <c r="R591" s="34"/>
      <c r="S591" s="34"/>
      <c r="T591" s="34"/>
      <c r="U591" s="34"/>
      <c r="V591" s="34"/>
    </row>
    <row r="592" spans="1:22">
      <c r="A592" s="35"/>
      <c r="B592" s="3"/>
      <c r="C592" s="35"/>
      <c r="D592" s="34"/>
      <c r="E592" s="34"/>
      <c r="F592" s="35"/>
      <c r="G592" s="35"/>
      <c r="H592" s="3"/>
      <c r="I592" s="35"/>
      <c r="J592" s="35" t="str">
        <f>IF(OR(TRIM(E592)="", TRIM(H592)=""), "", IFERROR(IF(OR(VLOOKUP(E592&amp;"|"&amp;H592&amp;"", DB!$A:$N, 6, FALSE)="", VLOOKUP(E592&amp;"|"&amp;H592&amp;"", DB!$A:$N, 6, FALSE)="-"), "", VLOOKUP(E592&amp;"|"&amp;H592&amp;"", DB!$A:$N, 6, FALSE)), ""))</f>
        <v/>
      </c>
      <c r="K592" s="35"/>
      <c r="L592" s="35"/>
      <c r="M592" s="35"/>
      <c r="N592" s="35" t="str">
        <f t="shared" si="9"/>
        <v/>
      </c>
      <c r="O592" s="34"/>
      <c r="P592" s="34"/>
      <c r="Q592" s="34"/>
      <c r="R592" s="34"/>
      <c r="S592" s="34"/>
      <c r="T592" s="34"/>
      <c r="U592" s="34"/>
      <c r="V592" s="34"/>
    </row>
    <row r="593" spans="1:22">
      <c r="A593" s="35"/>
      <c r="B593" s="3"/>
      <c r="C593" s="35"/>
      <c r="D593" s="34"/>
      <c r="E593" s="34"/>
      <c r="F593" s="35"/>
      <c r="G593" s="35"/>
      <c r="H593" s="3"/>
      <c r="I593" s="35"/>
      <c r="J593" s="35" t="str">
        <f>IF(OR(TRIM(E593)="", TRIM(H593)=""), "", IFERROR(IF(OR(VLOOKUP(E593&amp;"|"&amp;H593&amp;"", DB!$A:$N, 6, FALSE)="", VLOOKUP(E593&amp;"|"&amp;H593&amp;"", DB!$A:$N, 6, FALSE)="-"), "", VLOOKUP(E593&amp;"|"&amp;H593&amp;"", DB!$A:$N, 6, FALSE)), ""))</f>
        <v/>
      </c>
      <c r="K593" s="35"/>
      <c r="L593" s="35"/>
      <c r="M593" s="35"/>
      <c r="N593" s="35" t="str">
        <f t="shared" si="9"/>
        <v/>
      </c>
      <c r="O593" s="34"/>
      <c r="P593" s="34"/>
      <c r="Q593" s="34"/>
      <c r="R593" s="34"/>
      <c r="S593" s="34"/>
      <c r="T593" s="34"/>
      <c r="U593" s="34"/>
      <c r="V593" s="34"/>
    </row>
    <row r="594" spans="1:22">
      <c r="A594" s="35"/>
      <c r="B594" s="3"/>
      <c r="C594" s="35"/>
      <c r="D594" s="34"/>
      <c r="E594" s="34"/>
      <c r="F594" s="35"/>
      <c r="G594" s="35"/>
      <c r="H594" s="3"/>
      <c r="I594" s="35"/>
      <c r="J594" s="35" t="str">
        <f>IF(OR(TRIM(E594)="", TRIM(H594)=""), "", IFERROR(IF(OR(VLOOKUP(E594&amp;"|"&amp;H594&amp;"", DB!$A:$N, 6, FALSE)="", VLOOKUP(E594&amp;"|"&amp;H594&amp;"", DB!$A:$N, 6, FALSE)="-"), "", VLOOKUP(E594&amp;"|"&amp;H594&amp;"", DB!$A:$N, 6, FALSE)), ""))</f>
        <v/>
      </c>
      <c r="K594" s="35"/>
      <c r="L594" s="35"/>
      <c r="M594" s="35"/>
      <c r="N594" s="35" t="str">
        <f t="shared" si="9"/>
        <v/>
      </c>
      <c r="O594" s="34"/>
      <c r="P594" s="34"/>
      <c r="Q594" s="34"/>
      <c r="R594" s="34"/>
      <c r="S594" s="34"/>
      <c r="T594" s="34"/>
      <c r="U594" s="34"/>
      <c r="V594" s="34"/>
    </row>
    <row r="595" spans="1:22">
      <c r="A595" s="35"/>
      <c r="B595" s="3"/>
      <c r="C595" s="35"/>
      <c r="D595" s="34"/>
      <c r="E595" s="34"/>
      <c r="F595" s="35"/>
      <c r="G595" s="35"/>
      <c r="H595" s="3"/>
      <c r="I595" s="35"/>
      <c r="J595" s="35" t="str">
        <f>IF(OR(TRIM(E595)="", TRIM(H595)=""), "", IFERROR(IF(OR(VLOOKUP(E595&amp;"|"&amp;H595&amp;"", DB!$A:$N, 6, FALSE)="", VLOOKUP(E595&amp;"|"&amp;H595&amp;"", DB!$A:$N, 6, FALSE)="-"), "", VLOOKUP(E595&amp;"|"&amp;H595&amp;"", DB!$A:$N, 6, FALSE)), ""))</f>
        <v/>
      </c>
      <c r="K595" s="35"/>
      <c r="L595" s="35"/>
      <c r="M595" s="35"/>
      <c r="N595" s="35" t="str">
        <f t="shared" si="9"/>
        <v/>
      </c>
      <c r="O595" s="34"/>
      <c r="P595" s="34"/>
      <c r="Q595" s="34"/>
      <c r="R595" s="34"/>
      <c r="S595" s="34"/>
      <c r="T595" s="34"/>
      <c r="U595" s="34"/>
      <c r="V595" s="34"/>
    </row>
    <row r="596" spans="1:22">
      <c r="A596" s="35"/>
      <c r="B596" s="3"/>
      <c r="C596" s="35"/>
      <c r="D596" s="34"/>
      <c r="E596" s="34"/>
      <c r="F596" s="35"/>
      <c r="G596" s="35"/>
      <c r="H596" s="3"/>
      <c r="I596" s="35"/>
      <c r="J596" s="35" t="str">
        <f>IF(OR(TRIM(E596)="", TRIM(H596)=""), "", IFERROR(IF(OR(VLOOKUP(E596&amp;"|"&amp;H596&amp;"", DB!$A:$N, 6, FALSE)="", VLOOKUP(E596&amp;"|"&amp;H596&amp;"", DB!$A:$N, 6, FALSE)="-"), "", VLOOKUP(E596&amp;"|"&amp;H596&amp;"", DB!$A:$N, 6, FALSE)), ""))</f>
        <v/>
      </c>
      <c r="K596" s="35"/>
      <c r="L596" s="35"/>
      <c r="M596" s="35"/>
      <c r="N596" s="35" t="str">
        <f t="shared" si="9"/>
        <v/>
      </c>
      <c r="O596" s="34"/>
      <c r="P596" s="34"/>
      <c r="Q596" s="34"/>
      <c r="R596" s="34"/>
      <c r="S596" s="34"/>
      <c r="T596" s="34"/>
      <c r="U596" s="34"/>
      <c r="V596" s="34"/>
    </row>
    <row r="597" spans="1:22">
      <c r="A597" s="35"/>
      <c r="B597" s="3"/>
      <c r="C597" s="35"/>
      <c r="D597" s="34"/>
      <c r="E597" s="34"/>
      <c r="F597" s="35"/>
      <c r="G597" s="35"/>
      <c r="H597" s="3"/>
      <c r="I597" s="35"/>
      <c r="J597" s="35" t="str">
        <f>IF(OR(TRIM(E597)="", TRIM(H597)=""), "", IFERROR(IF(OR(VLOOKUP(E597&amp;"|"&amp;H597&amp;"", DB!$A:$N, 6, FALSE)="", VLOOKUP(E597&amp;"|"&amp;H597&amp;"", DB!$A:$N, 6, FALSE)="-"), "", VLOOKUP(E597&amp;"|"&amp;H597&amp;"", DB!$A:$N, 6, FALSE)), ""))</f>
        <v/>
      </c>
      <c r="K597" s="35"/>
      <c r="L597" s="35"/>
      <c r="M597" s="35"/>
      <c r="N597" s="35" t="str">
        <f t="shared" si="9"/>
        <v/>
      </c>
      <c r="O597" s="34"/>
      <c r="P597" s="34"/>
      <c r="Q597" s="34"/>
      <c r="R597" s="34"/>
      <c r="S597" s="34"/>
      <c r="T597" s="34"/>
      <c r="U597" s="34"/>
      <c r="V597" s="34"/>
    </row>
    <row r="598" spans="1:22">
      <c r="A598" s="35"/>
      <c r="B598" s="3"/>
      <c r="C598" s="35"/>
      <c r="D598" s="34"/>
      <c r="E598" s="34"/>
      <c r="F598" s="35"/>
      <c r="G598" s="35"/>
      <c r="H598" s="3"/>
      <c r="I598" s="35"/>
      <c r="J598" s="35" t="str">
        <f>IF(OR(TRIM(E598)="", TRIM(H598)=""), "", IFERROR(IF(OR(VLOOKUP(E598&amp;"|"&amp;H598&amp;"", DB!$A:$N, 6, FALSE)="", VLOOKUP(E598&amp;"|"&amp;H598&amp;"", DB!$A:$N, 6, FALSE)="-"), "", VLOOKUP(E598&amp;"|"&amp;H598&amp;"", DB!$A:$N, 6, FALSE)), ""))</f>
        <v/>
      </c>
      <c r="K598" s="35"/>
      <c r="L598" s="35"/>
      <c r="M598" s="35"/>
      <c r="N598" s="35" t="str">
        <f t="shared" si="9"/>
        <v/>
      </c>
      <c r="O598" s="34"/>
      <c r="P598" s="34"/>
      <c r="Q598" s="34"/>
      <c r="R598" s="34"/>
      <c r="S598" s="34"/>
      <c r="T598" s="34"/>
      <c r="U598" s="34"/>
      <c r="V598" s="34"/>
    </row>
    <row r="599" spans="1:22">
      <c r="A599" s="35"/>
      <c r="B599" s="3"/>
      <c r="C599" s="35"/>
      <c r="D599" s="34"/>
      <c r="E599" s="34"/>
      <c r="F599" s="35"/>
      <c r="G599" s="35"/>
      <c r="H599" s="3"/>
      <c r="I599" s="35"/>
      <c r="J599" s="35" t="str">
        <f>IF(OR(TRIM(E599)="", TRIM(H599)=""), "", IFERROR(IF(OR(VLOOKUP(E599&amp;"|"&amp;H599&amp;"", DB!$A:$N, 6, FALSE)="", VLOOKUP(E599&amp;"|"&amp;H599&amp;"", DB!$A:$N, 6, FALSE)="-"), "", VLOOKUP(E599&amp;"|"&amp;H599&amp;"", DB!$A:$N, 6, FALSE)), ""))</f>
        <v/>
      </c>
      <c r="K599" s="35"/>
      <c r="L599" s="35"/>
      <c r="M599" s="35"/>
      <c r="N599" s="35" t="str">
        <f t="shared" si="9"/>
        <v/>
      </c>
      <c r="O599" s="34"/>
      <c r="P599" s="34"/>
      <c r="Q599" s="34"/>
      <c r="R599" s="34"/>
      <c r="S599" s="34"/>
      <c r="T599" s="34"/>
      <c r="U599" s="34"/>
      <c r="V599" s="34"/>
    </row>
    <row r="600" spans="1:22">
      <c r="A600" s="35"/>
      <c r="B600" s="3"/>
      <c r="C600" s="35"/>
      <c r="D600" s="34"/>
      <c r="E600" s="34"/>
      <c r="F600" s="35"/>
      <c r="G600" s="35"/>
      <c r="H600" s="3"/>
      <c r="I600" s="35"/>
      <c r="J600" s="35" t="str">
        <f>IF(OR(TRIM(E600)="", TRIM(H600)=""), "", IFERROR(IF(OR(VLOOKUP(E600&amp;"|"&amp;H600&amp;"", DB!$A:$N, 6, FALSE)="", VLOOKUP(E600&amp;"|"&amp;H600&amp;"", DB!$A:$N, 6, FALSE)="-"), "", VLOOKUP(E600&amp;"|"&amp;H600&amp;"", DB!$A:$N, 6, FALSE)), ""))</f>
        <v/>
      </c>
      <c r="K600" s="35"/>
      <c r="L600" s="35"/>
      <c r="M600" s="35"/>
      <c r="N600" s="35" t="str">
        <f t="shared" si="9"/>
        <v/>
      </c>
      <c r="O600" s="34"/>
      <c r="P600" s="34"/>
      <c r="Q600" s="34"/>
      <c r="R600" s="34"/>
      <c r="S600" s="34"/>
      <c r="T600" s="34"/>
      <c r="U600" s="34"/>
      <c r="V600" s="34"/>
    </row>
    <row r="601" spans="1:22">
      <c r="A601" s="35"/>
      <c r="B601" s="3"/>
      <c r="C601" s="35"/>
      <c r="D601" s="34"/>
      <c r="E601" s="34"/>
      <c r="F601" s="35"/>
      <c r="G601" s="35"/>
      <c r="H601" s="3"/>
      <c r="I601" s="35"/>
      <c r="J601" s="35" t="str">
        <f>IF(OR(TRIM(E601)="", TRIM(H601)=""), "", IFERROR(IF(OR(VLOOKUP(E601&amp;"|"&amp;H601&amp;"", DB!$A:$N, 6, FALSE)="", VLOOKUP(E601&amp;"|"&amp;H601&amp;"", DB!$A:$N, 6, FALSE)="-"), "", VLOOKUP(E601&amp;"|"&amp;H601&amp;"", DB!$A:$N, 6, FALSE)), ""))</f>
        <v/>
      </c>
      <c r="K601" s="35"/>
      <c r="L601" s="35"/>
      <c r="M601" s="35"/>
      <c r="N601" s="35" t="str">
        <f t="shared" si="9"/>
        <v/>
      </c>
      <c r="O601" s="34"/>
      <c r="P601" s="34"/>
      <c r="Q601" s="34"/>
      <c r="R601" s="34"/>
      <c r="S601" s="34"/>
      <c r="T601" s="34"/>
      <c r="U601" s="34"/>
      <c r="V601" s="34"/>
    </row>
    <row r="602" spans="1:22">
      <c r="A602" s="35"/>
      <c r="B602" s="3"/>
      <c r="C602" s="35"/>
      <c r="D602" s="34"/>
      <c r="E602" s="34"/>
      <c r="F602" s="35"/>
      <c r="G602" s="35"/>
      <c r="H602" s="3"/>
      <c r="I602" s="35"/>
      <c r="J602" s="35" t="str">
        <f>IF(OR(TRIM(E602)="", TRIM(H602)=""), "", IFERROR(IF(OR(VLOOKUP(E602&amp;"|"&amp;H602&amp;"", DB!$A:$N, 6, FALSE)="", VLOOKUP(E602&amp;"|"&amp;H602&amp;"", DB!$A:$N, 6, FALSE)="-"), "", VLOOKUP(E602&amp;"|"&amp;H602&amp;"", DB!$A:$N, 6, FALSE)), ""))</f>
        <v/>
      </c>
      <c r="K602" s="35"/>
      <c r="L602" s="35"/>
      <c r="M602" s="35"/>
      <c r="N602" s="35" t="str">
        <f t="shared" si="9"/>
        <v/>
      </c>
      <c r="O602" s="34"/>
      <c r="P602" s="34"/>
      <c r="Q602" s="34"/>
      <c r="R602" s="34"/>
      <c r="S602" s="34"/>
      <c r="T602" s="34"/>
      <c r="U602" s="34"/>
      <c r="V602" s="34"/>
    </row>
    <row r="603" spans="1:22">
      <c r="A603" s="35"/>
      <c r="B603" s="3"/>
      <c r="C603" s="35"/>
      <c r="D603" s="34"/>
      <c r="E603" s="34"/>
      <c r="F603" s="35"/>
      <c r="G603" s="35"/>
      <c r="H603" s="3"/>
      <c r="I603" s="35"/>
      <c r="J603" s="35" t="str">
        <f>IF(OR(TRIM(E603)="", TRIM(H603)=""), "", IFERROR(IF(OR(VLOOKUP(E603&amp;"|"&amp;H603&amp;"", DB!$A:$N, 6, FALSE)="", VLOOKUP(E603&amp;"|"&amp;H603&amp;"", DB!$A:$N, 6, FALSE)="-"), "", VLOOKUP(E603&amp;"|"&amp;H603&amp;"", DB!$A:$N, 6, FALSE)), ""))</f>
        <v/>
      </c>
      <c r="K603" s="35"/>
      <c r="L603" s="35"/>
      <c r="M603" s="35"/>
      <c r="N603" s="35" t="str">
        <f t="shared" si="9"/>
        <v/>
      </c>
      <c r="O603" s="34"/>
      <c r="P603" s="34"/>
      <c r="Q603" s="34"/>
      <c r="R603" s="34"/>
      <c r="S603" s="34"/>
      <c r="T603" s="34"/>
      <c r="U603" s="34"/>
      <c r="V603" s="34"/>
    </row>
    <row r="604" spans="1:22">
      <c r="A604" s="35"/>
      <c r="B604" s="3"/>
      <c r="C604" s="35"/>
      <c r="D604" s="34"/>
      <c r="E604" s="34"/>
      <c r="F604" s="35"/>
      <c r="G604" s="35"/>
      <c r="H604" s="3"/>
      <c r="I604" s="35"/>
      <c r="J604" s="35" t="str">
        <f>IF(OR(TRIM(E604)="", TRIM(H604)=""), "", IFERROR(IF(OR(VLOOKUP(E604&amp;"|"&amp;H604&amp;"", DB!$A:$N, 6, FALSE)="", VLOOKUP(E604&amp;"|"&amp;H604&amp;"", DB!$A:$N, 6, FALSE)="-"), "", VLOOKUP(E604&amp;"|"&amp;H604&amp;"", DB!$A:$N, 6, FALSE)), ""))</f>
        <v/>
      </c>
      <c r="K604" s="35"/>
      <c r="L604" s="35"/>
      <c r="M604" s="35"/>
      <c r="N604" s="35" t="str">
        <f t="shared" si="9"/>
        <v/>
      </c>
      <c r="O604" s="34"/>
      <c r="P604" s="34"/>
      <c r="Q604" s="34"/>
      <c r="R604" s="34"/>
      <c r="S604" s="34"/>
      <c r="T604" s="34"/>
      <c r="U604" s="34"/>
      <c r="V604" s="34"/>
    </row>
    <row r="605" spans="1:22">
      <c r="A605" s="35"/>
      <c r="B605" s="3"/>
      <c r="C605" s="35"/>
      <c r="D605" s="34"/>
      <c r="E605" s="34"/>
      <c r="F605" s="35"/>
      <c r="G605" s="35"/>
      <c r="H605" s="3"/>
      <c r="I605" s="35"/>
      <c r="J605" s="35" t="str">
        <f>IF(OR(TRIM(E605)="", TRIM(H605)=""), "", IFERROR(IF(OR(VLOOKUP(E605&amp;"|"&amp;H605&amp;"", DB!$A:$N, 6, FALSE)="", VLOOKUP(E605&amp;"|"&amp;H605&amp;"", DB!$A:$N, 6, FALSE)="-"), "", VLOOKUP(E605&amp;"|"&amp;H605&amp;"", DB!$A:$N, 6, FALSE)), ""))</f>
        <v/>
      </c>
      <c r="K605" s="35"/>
      <c r="L605" s="35"/>
      <c r="M605" s="35"/>
      <c r="N605" s="35" t="str">
        <f t="shared" si="9"/>
        <v/>
      </c>
      <c r="O605" s="34"/>
      <c r="P605" s="34"/>
      <c r="Q605" s="34"/>
      <c r="R605" s="34"/>
      <c r="S605" s="34"/>
      <c r="T605" s="34"/>
      <c r="U605" s="34"/>
      <c r="V605" s="34"/>
    </row>
    <row r="606" spans="1:22">
      <c r="A606" s="35"/>
      <c r="B606" s="3"/>
      <c r="C606" s="35"/>
      <c r="D606" s="34"/>
      <c r="E606" s="34"/>
      <c r="F606" s="35"/>
      <c r="G606" s="35"/>
      <c r="H606" s="3"/>
      <c r="I606" s="35"/>
      <c r="J606" s="35" t="str">
        <f>IF(OR(TRIM(E606)="", TRIM(H606)=""), "", IFERROR(IF(OR(VLOOKUP(E606&amp;"|"&amp;H606&amp;"", DB!$A:$N, 6, FALSE)="", VLOOKUP(E606&amp;"|"&amp;H606&amp;"", DB!$A:$N, 6, FALSE)="-"), "", VLOOKUP(E606&amp;"|"&amp;H606&amp;"", DB!$A:$N, 6, FALSE)), ""))</f>
        <v/>
      </c>
      <c r="K606" s="35"/>
      <c r="L606" s="35"/>
      <c r="M606" s="35"/>
      <c r="N606" s="35" t="str">
        <f t="shared" si="9"/>
        <v/>
      </c>
      <c r="O606" s="34"/>
      <c r="P606" s="34"/>
      <c r="Q606" s="34"/>
      <c r="R606" s="34"/>
      <c r="S606" s="34"/>
      <c r="T606" s="34"/>
      <c r="U606" s="34"/>
      <c r="V606" s="34"/>
    </row>
    <row r="607" spans="1:22">
      <c r="A607" s="35"/>
      <c r="B607" s="3"/>
      <c r="C607" s="35"/>
      <c r="D607" s="34"/>
      <c r="E607" s="34"/>
      <c r="F607" s="35"/>
      <c r="G607" s="35"/>
      <c r="H607" s="3"/>
      <c r="I607" s="35"/>
      <c r="J607" s="35" t="str">
        <f>IF(OR(TRIM(E607)="", TRIM(H607)=""), "", IFERROR(IF(OR(VLOOKUP(E607&amp;"|"&amp;H607&amp;"", DB!$A:$N, 6, FALSE)="", VLOOKUP(E607&amp;"|"&amp;H607&amp;"", DB!$A:$N, 6, FALSE)="-"), "", VLOOKUP(E607&amp;"|"&amp;H607&amp;"", DB!$A:$N, 6, FALSE)), ""))</f>
        <v/>
      </c>
      <c r="K607" s="35"/>
      <c r="L607" s="35"/>
      <c r="M607" s="35"/>
      <c r="N607" s="35" t="str">
        <f t="shared" si="9"/>
        <v/>
      </c>
      <c r="O607" s="34"/>
      <c r="P607" s="34"/>
      <c r="Q607" s="34"/>
      <c r="R607" s="34"/>
      <c r="S607" s="34"/>
      <c r="T607" s="34"/>
      <c r="U607" s="34"/>
      <c r="V607" s="34"/>
    </row>
    <row r="608" spans="1:22">
      <c r="A608" s="35"/>
      <c r="B608" s="3"/>
      <c r="C608" s="35"/>
      <c r="D608" s="34"/>
      <c r="E608" s="34"/>
      <c r="F608" s="35"/>
      <c r="G608" s="35"/>
      <c r="H608" s="3"/>
      <c r="I608" s="35"/>
      <c r="J608" s="35" t="str">
        <f>IF(OR(TRIM(E608)="", TRIM(H608)=""), "", IFERROR(IF(OR(VLOOKUP(E608&amp;"|"&amp;H608&amp;"", DB!$A:$N, 6, FALSE)="", VLOOKUP(E608&amp;"|"&amp;H608&amp;"", DB!$A:$N, 6, FALSE)="-"), "", VLOOKUP(E608&amp;"|"&amp;H608&amp;"", DB!$A:$N, 6, FALSE)), ""))</f>
        <v/>
      </c>
      <c r="K608" s="35"/>
      <c r="L608" s="35"/>
      <c r="M608" s="35"/>
      <c r="N608" s="35" t="str">
        <f t="shared" si="9"/>
        <v/>
      </c>
      <c r="O608" s="34"/>
      <c r="P608" s="34"/>
      <c r="Q608" s="34"/>
      <c r="R608" s="34"/>
      <c r="S608" s="34"/>
      <c r="T608" s="34"/>
      <c r="U608" s="34"/>
      <c r="V608" s="34"/>
    </row>
    <row r="609" spans="1:22">
      <c r="A609" s="35"/>
      <c r="B609" s="3"/>
      <c r="C609" s="35"/>
      <c r="D609" s="34"/>
      <c r="E609" s="34"/>
      <c r="F609" s="35"/>
      <c r="G609" s="35"/>
      <c r="H609" s="3"/>
      <c r="I609" s="35"/>
      <c r="J609" s="35" t="str">
        <f>IF(OR(TRIM(E609)="", TRIM(H609)=""), "", IFERROR(IF(OR(VLOOKUP(E609&amp;"|"&amp;H609&amp;"", DB!$A:$N, 6, FALSE)="", VLOOKUP(E609&amp;"|"&amp;H609&amp;"", DB!$A:$N, 6, FALSE)="-"), "", VLOOKUP(E609&amp;"|"&amp;H609&amp;"", DB!$A:$N, 6, FALSE)), ""))</f>
        <v/>
      </c>
      <c r="K609" s="35"/>
      <c r="L609" s="35"/>
      <c r="M609" s="35"/>
      <c r="N609" s="35" t="str">
        <f t="shared" si="9"/>
        <v/>
      </c>
      <c r="O609" s="34"/>
      <c r="P609" s="34"/>
      <c r="Q609" s="34"/>
      <c r="R609" s="34"/>
      <c r="S609" s="34"/>
      <c r="T609" s="34"/>
      <c r="U609" s="34"/>
      <c r="V609" s="34"/>
    </row>
    <row r="610" spans="1:22">
      <c r="A610" s="35"/>
      <c r="B610" s="3"/>
      <c r="C610" s="35"/>
      <c r="D610" s="34"/>
      <c r="E610" s="34"/>
      <c r="F610" s="35"/>
      <c r="G610" s="35"/>
      <c r="H610" s="3"/>
      <c r="I610" s="35"/>
      <c r="J610" s="35" t="str">
        <f>IF(OR(TRIM(E610)="", TRIM(H610)=""), "", IFERROR(IF(OR(VLOOKUP(E610&amp;"|"&amp;H610&amp;"", DB!$A:$N, 6, FALSE)="", VLOOKUP(E610&amp;"|"&amp;H610&amp;"", DB!$A:$N, 6, FALSE)="-"), "", VLOOKUP(E610&amp;"|"&amp;H610&amp;"", DB!$A:$N, 6, FALSE)), ""))</f>
        <v/>
      </c>
      <c r="K610" s="35"/>
      <c r="L610" s="35"/>
      <c r="M610" s="35"/>
      <c r="N610" s="35" t="str">
        <f t="shared" si="9"/>
        <v/>
      </c>
      <c r="O610" s="34"/>
      <c r="P610" s="34"/>
      <c r="Q610" s="34"/>
      <c r="R610" s="34"/>
      <c r="S610" s="34"/>
      <c r="T610" s="34"/>
      <c r="U610" s="34"/>
      <c r="V610" s="34"/>
    </row>
    <row r="611" spans="1:22">
      <c r="A611" s="35"/>
      <c r="B611" s="3"/>
      <c r="C611" s="35"/>
      <c r="D611" s="34"/>
      <c r="E611" s="34"/>
      <c r="F611" s="35"/>
      <c r="G611" s="35"/>
      <c r="H611" s="3"/>
      <c r="I611" s="35"/>
      <c r="J611" s="35" t="str">
        <f>IF(OR(TRIM(E611)="", TRIM(H611)=""), "", IFERROR(IF(OR(VLOOKUP(E611&amp;"|"&amp;H611&amp;"", DB!$A:$N, 6, FALSE)="", VLOOKUP(E611&amp;"|"&amp;H611&amp;"", DB!$A:$N, 6, FALSE)="-"), "", VLOOKUP(E611&amp;"|"&amp;H611&amp;"", DB!$A:$N, 6, FALSE)), ""))</f>
        <v/>
      </c>
      <c r="K611" s="35"/>
      <c r="L611" s="35"/>
      <c r="M611" s="35"/>
      <c r="N611" s="35" t="str">
        <f t="shared" si="9"/>
        <v/>
      </c>
      <c r="O611" s="34"/>
      <c r="P611" s="34"/>
      <c r="Q611" s="34"/>
      <c r="R611" s="34"/>
      <c r="S611" s="34"/>
      <c r="T611" s="34"/>
      <c r="U611" s="34"/>
      <c r="V611" s="34"/>
    </row>
    <row r="612" spans="1:22">
      <c r="A612" s="35"/>
      <c r="B612" s="3"/>
      <c r="C612" s="35"/>
      <c r="D612" s="34"/>
      <c r="E612" s="34"/>
      <c r="F612" s="35"/>
      <c r="G612" s="35"/>
      <c r="H612" s="3"/>
      <c r="I612" s="35"/>
      <c r="J612" s="35" t="str">
        <f>IF(OR(TRIM(E612)="", TRIM(H612)=""), "", IFERROR(IF(OR(VLOOKUP(E612&amp;"|"&amp;H612&amp;"", DB!$A:$N, 6, FALSE)="", VLOOKUP(E612&amp;"|"&amp;H612&amp;"", DB!$A:$N, 6, FALSE)="-"), "", VLOOKUP(E612&amp;"|"&amp;H612&amp;"", DB!$A:$N, 6, FALSE)), ""))</f>
        <v/>
      </c>
      <c r="K612" s="35"/>
      <c r="L612" s="35"/>
      <c r="M612" s="35"/>
      <c r="N612" s="35" t="str">
        <f t="shared" si="9"/>
        <v/>
      </c>
      <c r="O612" s="34"/>
      <c r="P612" s="34"/>
      <c r="Q612" s="34"/>
      <c r="R612" s="34"/>
      <c r="S612" s="34"/>
      <c r="T612" s="34"/>
      <c r="U612" s="34"/>
      <c r="V612" s="34"/>
    </row>
    <row r="613" spans="1:22">
      <c r="A613" s="35"/>
      <c r="B613" s="3"/>
      <c r="C613" s="35"/>
      <c r="D613" s="34"/>
      <c r="E613" s="34"/>
      <c r="F613" s="35"/>
      <c r="G613" s="35"/>
      <c r="H613" s="3"/>
      <c r="I613" s="35"/>
      <c r="J613" s="35" t="str">
        <f>IF(OR(TRIM(E613)="", TRIM(H613)=""), "", IFERROR(IF(OR(VLOOKUP(E613&amp;"|"&amp;H613&amp;"", DB!$A:$N, 6, FALSE)="", VLOOKUP(E613&amp;"|"&amp;H613&amp;"", DB!$A:$N, 6, FALSE)="-"), "", VLOOKUP(E613&amp;"|"&amp;H613&amp;"", DB!$A:$N, 6, FALSE)), ""))</f>
        <v/>
      </c>
      <c r="K613" s="35"/>
      <c r="L613" s="35"/>
      <c r="M613" s="35"/>
      <c r="N613" s="35" t="str">
        <f t="shared" si="9"/>
        <v/>
      </c>
      <c r="O613" s="34"/>
      <c r="P613" s="34"/>
      <c r="Q613" s="34"/>
      <c r="R613" s="34"/>
      <c r="S613" s="34"/>
      <c r="T613" s="34"/>
      <c r="U613" s="34"/>
      <c r="V613" s="34"/>
    </row>
    <row r="614" spans="1:22">
      <c r="A614" s="35"/>
      <c r="B614" s="3"/>
      <c r="C614" s="35"/>
      <c r="D614" s="34"/>
      <c r="E614" s="34"/>
      <c r="F614" s="35"/>
      <c r="G614" s="35"/>
      <c r="H614" s="3"/>
      <c r="I614" s="35"/>
      <c r="J614" s="35" t="str">
        <f>IF(OR(TRIM(E614)="", TRIM(H614)=""), "", IFERROR(IF(OR(VLOOKUP(E614&amp;"|"&amp;H614&amp;"", DB!$A:$N, 6, FALSE)="", VLOOKUP(E614&amp;"|"&amp;H614&amp;"", DB!$A:$N, 6, FALSE)="-"), "", VLOOKUP(E614&amp;"|"&amp;H614&amp;"", DB!$A:$N, 6, FALSE)), ""))</f>
        <v/>
      </c>
      <c r="K614" s="35"/>
      <c r="L614" s="35"/>
      <c r="M614" s="35"/>
      <c r="N614" s="35" t="str">
        <f t="shared" si="9"/>
        <v/>
      </c>
      <c r="O614" s="34"/>
      <c r="P614" s="34"/>
      <c r="Q614" s="34"/>
      <c r="R614" s="34"/>
      <c r="S614" s="34"/>
      <c r="T614" s="34"/>
      <c r="U614" s="34"/>
      <c r="V614" s="34"/>
    </row>
    <row r="615" spans="1:22">
      <c r="A615" s="35"/>
      <c r="B615" s="3"/>
      <c r="C615" s="35"/>
      <c r="D615" s="34"/>
      <c r="E615" s="34"/>
      <c r="F615" s="35"/>
      <c r="G615" s="35"/>
      <c r="H615" s="3"/>
      <c r="I615" s="35"/>
      <c r="J615" s="35" t="str">
        <f>IF(OR(TRIM(E615)="", TRIM(H615)=""), "", IFERROR(IF(OR(VLOOKUP(E615&amp;"|"&amp;H615&amp;"", DB!$A:$N, 6, FALSE)="", VLOOKUP(E615&amp;"|"&amp;H615&amp;"", DB!$A:$N, 6, FALSE)="-"), "", VLOOKUP(E615&amp;"|"&amp;H615&amp;"", DB!$A:$N, 6, FALSE)), ""))</f>
        <v/>
      </c>
      <c r="K615" s="35"/>
      <c r="L615" s="35"/>
      <c r="M615" s="35"/>
      <c r="N615" s="35" t="str">
        <f t="shared" si="9"/>
        <v/>
      </c>
      <c r="O615" s="34"/>
      <c r="P615" s="34"/>
      <c r="Q615" s="34"/>
      <c r="R615" s="34"/>
      <c r="S615" s="34"/>
      <c r="T615" s="34"/>
      <c r="U615" s="34"/>
      <c r="V615" s="34"/>
    </row>
    <row r="616" spans="1:22">
      <c r="A616" s="35"/>
      <c r="B616" s="3"/>
      <c r="C616" s="35"/>
      <c r="D616" s="34"/>
      <c r="E616" s="34"/>
      <c r="F616" s="35"/>
      <c r="G616" s="35"/>
      <c r="H616" s="3"/>
      <c r="I616" s="35"/>
      <c r="J616" s="35" t="str">
        <f>IF(OR(TRIM(E616)="", TRIM(H616)=""), "", IFERROR(IF(OR(VLOOKUP(E616&amp;"|"&amp;H616&amp;"", DB!$A:$N, 6, FALSE)="", VLOOKUP(E616&amp;"|"&amp;H616&amp;"", DB!$A:$N, 6, FALSE)="-"), "", VLOOKUP(E616&amp;"|"&amp;H616&amp;"", DB!$A:$N, 6, FALSE)), ""))</f>
        <v/>
      </c>
      <c r="K616" s="35"/>
      <c r="L616" s="35"/>
      <c r="M616" s="35"/>
      <c r="N616" s="35" t="str">
        <f t="shared" si="9"/>
        <v/>
      </c>
      <c r="O616" s="34"/>
      <c r="P616" s="34"/>
      <c r="Q616" s="34"/>
      <c r="R616" s="34"/>
      <c r="S616" s="34"/>
      <c r="T616" s="34"/>
      <c r="U616" s="34"/>
      <c r="V616" s="34"/>
    </row>
    <row r="617" spans="1:22">
      <c r="A617" s="35"/>
      <c r="B617" s="3"/>
      <c r="C617" s="35"/>
      <c r="D617" s="34"/>
      <c r="E617" s="34"/>
      <c r="F617" s="35"/>
      <c r="G617" s="35"/>
      <c r="H617" s="3"/>
      <c r="I617" s="35"/>
      <c r="J617" s="35" t="str">
        <f>IF(OR(TRIM(E617)="", TRIM(H617)=""), "", IFERROR(IF(OR(VLOOKUP(E617&amp;"|"&amp;H617&amp;"", DB!$A:$N, 6, FALSE)="", VLOOKUP(E617&amp;"|"&amp;H617&amp;"", DB!$A:$N, 6, FALSE)="-"), "", VLOOKUP(E617&amp;"|"&amp;H617&amp;"", DB!$A:$N, 6, FALSE)), ""))</f>
        <v/>
      </c>
      <c r="K617" s="35"/>
      <c r="L617" s="35"/>
      <c r="M617" s="35"/>
      <c r="N617" s="35" t="str">
        <f t="shared" si="9"/>
        <v/>
      </c>
      <c r="O617" s="34"/>
      <c r="P617" s="34"/>
      <c r="Q617" s="34"/>
      <c r="R617" s="34"/>
      <c r="S617" s="34"/>
      <c r="T617" s="34"/>
      <c r="U617" s="34"/>
      <c r="V617" s="34"/>
    </row>
    <row r="618" spans="1:22">
      <c r="A618" s="35"/>
      <c r="B618" s="3"/>
      <c r="C618" s="35"/>
      <c r="D618" s="34"/>
      <c r="E618" s="34"/>
      <c r="F618" s="35"/>
      <c r="G618" s="35"/>
      <c r="H618" s="3"/>
      <c r="I618" s="35"/>
      <c r="J618" s="35" t="str">
        <f>IF(OR(TRIM(E618)="", TRIM(H618)=""), "", IFERROR(IF(OR(VLOOKUP(E618&amp;"|"&amp;H618&amp;"", DB!$A:$N, 6, FALSE)="", VLOOKUP(E618&amp;"|"&amp;H618&amp;"", DB!$A:$N, 6, FALSE)="-"), "", VLOOKUP(E618&amp;"|"&amp;H618&amp;"", DB!$A:$N, 6, FALSE)), ""))</f>
        <v/>
      </c>
      <c r="K618" s="35"/>
      <c r="L618" s="35"/>
      <c r="M618" s="35"/>
      <c r="N618" s="35" t="str">
        <f t="shared" si="9"/>
        <v/>
      </c>
      <c r="O618" s="34"/>
      <c r="P618" s="34"/>
      <c r="Q618" s="34"/>
      <c r="R618" s="34"/>
      <c r="S618" s="34"/>
      <c r="T618" s="34"/>
      <c r="U618" s="34"/>
      <c r="V618" s="34"/>
    </row>
    <row r="619" spans="1:22">
      <c r="A619" s="35"/>
      <c r="B619" s="3"/>
      <c r="C619" s="35"/>
      <c r="D619" s="34"/>
      <c r="E619" s="34"/>
      <c r="F619" s="35"/>
      <c r="G619" s="35"/>
      <c r="H619" s="3"/>
      <c r="I619" s="35"/>
      <c r="J619" s="35" t="str">
        <f>IF(OR(TRIM(E619)="", TRIM(H619)=""), "", IFERROR(IF(OR(VLOOKUP(E619&amp;"|"&amp;H619&amp;"", DB!$A:$N, 6, FALSE)="", VLOOKUP(E619&amp;"|"&amp;H619&amp;"", DB!$A:$N, 6, FALSE)="-"), "", VLOOKUP(E619&amp;"|"&amp;H619&amp;"", DB!$A:$N, 6, FALSE)), ""))</f>
        <v/>
      </c>
      <c r="K619" s="35"/>
      <c r="L619" s="35"/>
      <c r="M619" s="35"/>
      <c r="N619" s="35" t="str">
        <f t="shared" si="9"/>
        <v/>
      </c>
      <c r="O619" s="34"/>
      <c r="P619" s="34"/>
      <c r="Q619" s="34"/>
      <c r="R619" s="34"/>
      <c r="S619" s="34"/>
      <c r="T619" s="34"/>
      <c r="U619" s="34"/>
      <c r="V619" s="34"/>
    </row>
    <row r="620" spans="1:22">
      <c r="A620" s="35"/>
      <c r="B620" s="3"/>
      <c r="C620" s="35"/>
      <c r="D620" s="34"/>
      <c r="E620" s="34"/>
      <c r="F620" s="35"/>
      <c r="G620" s="35"/>
      <c r="H620" s="3"/>
      <c r="I620" s="35"/>
      <c r="J620" s="35" t="str">
        <f>IF(OR(TRIM(E620)="", TRIM(H620)=""), "", IFERROR(IF(OR(VLOOKUP(E620&amp;"|"&amp;H620&amp;"", DB!$A:$N, 6, FALSE)="", VLOOKUP(E620&amp;"|"&amp;H620&amp;"", DB!$A:$N, 6, FALSE)="-"), "", VLOOKUP(E620&amp;"|"&amp;H620&amp;"", DB!$A:$N, 6, FALSE)), ""))</f>
        <v/>
      </c>
      <c r="K620" s="35"/>
      <c r="L620" s="35"/>
      <c r="M620" s="35"/>
      <c r="N620" s="35" t="str">
        <f t="shared" si="9"/>
        <v/>
      </c>
      <c r="O620" s="34"/>
      <c r="P620" s="34"/>
      <c r="Q620" s="34"/>
      <c r="R620" s="34"/>
      <c r="S620" s="34"/>
      <c r="T620" s="34"/>
      <c r="U620" s="34"/>
      <c r="V620" s="34"/>
    </row>
    <row r="621" spans="1:22">
      <c r="A621" s="35"/>
      <c r="B621" s="3"/>
      <c r="C621" s="35"/>
      <c r="D621" s="34"/>
      <c r="E621" s="34"/>
      <c r="F621" s="35"/>
      <c r="G621" s="35"/>
      <c r="H621" s="3"/>
      <c r="I621" s="35"/>
      <c r="J621" s="35" t="str">
        <f>IF(OR(TRIM(E621)="", TRIM(H621)=""), "", IFERROR(IF(OR(VLOOKUP(E621&amp;"|"&amp;H621&amp;"", DB!$A:$N, 6, FALSE)="", VLOOKUP(E621&amp;"|"&amp;H621&amp;"", DB!$A:$N, 6, FALSE)="-"), "", VLOOKUP(E621&amp;"|"&amp;H621&amp;"", DB!$A:$N, 6, FALSE)), ""))</f>
        <v/>
      </c>
      <c r="K621" s="35"/>
      <c r="L621" s="35"/>
      <c r="M621" s="35"/>
      <c r="N621" s="35" t="str">
        <f t="shared" si="9"/>
        <v/>
      </c>
      <c r="O621" s="34"/>
      <c r="P621" s="34"/>
      <c r="Q621" s="34"/>
      <c r="R621" s="34"/>
      <c r="S621" s="34"/>
      <c r="T621" s="34"/>
      <c r="U621" s="34"/>
      <c r="V621" s="34"/>
    </row>
    <row r="622" spans="1:22">
      <c r="A622" s="35"/>
      <c r="B622" s="3"/>
      <c r="C622" s="35"/>
      <c r="D622" s="34"/>
      <c r="E622" s="34"/>
      <c r="F622" s="35"/>
      <c r="G622" s="35"/>
      <c r="H622" s="3"/>
      <c r="I622" s="35"/>
      <c r="J622" s="35" t="str">
        <f>IF(OR(TRIM(E622)="", TRIM(H622)=""), "", IFERROR(IF(OR(VLOOKUP(E622&amp;"|"&amp;H622&amp;"", DB!$A:$N, 6, FALSE)="", VLOOKUP(E622&amp;"|"&amp;H622&amp;"", DB!$A:$N, 6, FALSE)="-"), "", VLOOKUP(E622&amp;"|"&amp;H622&amp;"", DB!$A:$N, 6, FALSE)), ""))</f>
        <v/>
      </c>
      <c r="K622" s="35"/>
      <c r="L622" s="35"/>
      <c r="M622" s="35"/>
      <c r="N622" s="35" t="str">
        <f t="shared" si="9"/>
        <v/>
      </c>
      <c r="O622" s="34"/>
      <c r="P622" s="34"/>
      <c r="Q622" s="34"/>
      <c r="R622" s="34"/>
      <c r="S622" s="34"/>
      <c r="T622" s="34"/>
      <c r="U622" s="34"/>
      <c r="V622" s="34"/>
    </row>
    <row r="623" spans="1:22">
      <c r="A623" s="35"/>
      <c r="B623" s="3"/>
      <c r="C623" s="35"/>
      <c r="D623" s="34"/>
      <c r="E623" s="34"/>
      <c r="F623" s="35"/>
      <c r="G623" s="35"/>
      <c r="H623" s="3"/>
      <c r="I623" s="35"/>
      <c r="J623" s="35" t="str">
        <f>IF(OR(TRIM(E623)="", TRIM(H623)=""), "", IFERROR(IF(OR(VLOOKUP(E623&amp;"|"&amp;H623&amp;"", DB!$A:$N, 6, FALSE)="", VLOOKUP(E623&amp;"|"&amp;H623&amp;"", DB!$A:$N, 6, FALSE)="-"), "", VLOOKUP(E623&amp;"|"&amp;H623&amp;"", DB!$A:$N, 6, FALSE)), ""))</f>
        <v/>
      </c>
      <c r="K623" s="35"/>
      <c r="L623" s="35"/>
      <c r="M623" s="35"/>
      <c r="N623" s="35" t="str">
        <f t="shared" si="9"/>
        <v/>
      </c>
      <c r="O623" s="34"/>
      <c r="P623" s="34"/>
      <c r="Q623" s="34"/>
      <c r="R623" s="34"/>
      <c r="S623" s="34"/>
      <c r="T623" s="34"/>
      <c r="U623" s="34"/>
      <c r="V623" s="34"/>
    </row>
    <row r="624" spans="1:22">
      <c r="A624" s="35"/>
      <c r="B624" s="3"/>
      <c r="C624" s="35"/>
      <c r="D624" s="34"/>
      <c r="E624" s="34"/>
      <c r="F624" s="35"/>
      <c r="G624" s="35"/>
      <c r="H624" s="3"/>
      <c r="I624" s="35"/>
      <c r="J624" s="35" t="str">
        <f>IF(OR(TRIM(E624)="", TRIM(H624)=""), "", IFERROR(IF(OR(VLOOKUP(E624&amp;"|"&amp;H624&amp;"", DB!$A:$N, 6, FALSE)="", VLOOKUP(E624&amp;"|"&amp;H624&amp;"", DB!$A:$N, 6, FALSE)="-"), "", VLOOKUP(E624&amp;"|"&amp;H624&amp;"", DB!$A:$N, 6, FALSE)), ""))</f>
        <v/>
      </c>
      <c r="K624" s="35"/>
      <c r="L624" s="35"/>
      <c r="M624" s="35"/>
      <c r="N624" s="35" t="str">
        <f t="shared" si="9"/>
        <v/>
      </c>
      <c r="O624" s="34"/>
      <c r="P624" s="34"/>
      <c r="Q624" s="34"/>
      <c r="R624" s="34"/>
      <c r="S624" s="34"/>
      <c r="T624" s="34"/>
      <c r="U624" s="34"/>
      <c r="V624" s="34"/>
    </row>
    <row r="625" spans="1:22">
      <c r="A625" s="35"/>
      <c r="B625" s="3"/>
      <c r="C625" s="35"/>
      <c r="D625" s="34"/>
      <c r="E625" s="34"/>
      <c r="F625" s="35"/>
      <c r="G625" s="35"/>
      <c r="H625" s="3"/>
      <c r="I625" s="35"/>
      <c r="J625" s="35" t="str">
        <f>IF(OR(TRIM(E625)="", TRIM(H625)=""), "", IFERROR(IF(OR(VLOOKUP(E625&amp;"|"&amp;H625&amp;"", DB!$A:$N, 6, FALSE)="", VLOOKUP(E625&amp;"|"&amp;H625&amp;"", DB!$A:$N, 6, FALSE)="-"), "", VLOOKUP(E625&amp;"|"&amp;H625&amp;"", DB!$A:$N, 6, FALSE)), ""))</f>
        <v/>
      </c>
      <c r="K625" s="35"/>
      <c r="L625" s="35"/>
      <c r="M625" s="35"/>
      <c r="N625" s="35" t="str">
        <f t="shared" si="9"/>
        <v/>
      </c>
      <c r="O625" s="34"/>
      <c r="P625" s="34"/>
      <c r="Q625" s="34"/>
      <c r="R625" s="34"/>
      <c r="S625" s="34"/>
      <c r="T625" s="34"/>
      <c r="U625" s="34"/>
      <c r="V625" s="34"/>
    </row>
    <row r="626" spans="1:22">
      <c r="A626" s="35"/>
      <c r="B626" s="3"/>
      <c r="C626" s="35"/>
      <c r="D626" s="34"/>
      <c r="E626" s="34"/>
      <c r="F626" s="35"/>
      <c r="G626" s="35"/>
      <c r="H626" s="3"/>
      <c r="I626" s="35"/>
      <c r="J626" s="35" t="str">
        <f>IF(OR(TRIM(E626)="", TRIM(H626)=""), "", IFERROR(IF(OR(VLOOKUP(E626&amp;"|"&amp;H626&amp;"", DB!$A:$N, 6, FALSE)="", VLOOKUP(E626&amp;"|"&amp;H626&amp;"", DB!$A:$N, 6, FALSE)="-"), "", VLOOKUP(E626&amp;"|"&amp;H626&amp;"", DB!$A:$N, 6, FALSE)), ""))</f>
        <v/>
      </c>
      <c r="K626" s="35"/>
      <c r="L626" s="35"/>
      <c r="M626" s="35"/>
      <c r="N626" s="35" t="str">
        <f t="shared" si="9"/>
        <v/>
      </c>
      <c r="O626" s="34"/>
      <c r="P626" s="34"/>
      <c r="Q626" s="34"/>
      <c r="R626" s="34"/>
      <c r="S626" s="34"/>
      <c r="T626" s="34"/>
      <c r="U626" s="34"/>
      <c r="V626" s="34"/>
    </row>
    <row r="627" spans="1:22">
      <c r="A627" s="35"/>
      <c r="B627" s="3"/>
      <c r="C627" s="35"/>
      <c r="D627" s="34"/>
      <c r="E627" s="34"/>
      <c r="F627" s="35"/>
      <c r="G627" s="35"/>
      <c r="H627" s="3"/>
      <c r="I627" s="35"/>
      <c r="J627" s="35" t="str">
        <f>IF(OR(TRIM(E627)="", TRIM(H627)=""), "", IFERROR(IF(OR(VLOOKUP(E627&amp;"|"&amp;H627&amp;"", DB!$A:$N, 6, FALSE)="", VLOOKUP(E627&amp;"|"&amp;H627&amp;"", DB!$A:$N, 6, FALSE)="-"), "", VLOOKUP(E627&amp;"|"&amp;H627&amp;"", DB!$A:$N, 6, FALSE)), ""))</f>
        <v/>
      </c>
      <c r="K627" s="35"/>
      <c r="L627" s="35"/>
      <c r="M627" s="35"/>
      <c r="N627" s="35" t="str">
        <f t="shared" si="9"/>
        <v/>
      </c>
      <c r="O627" s="34"/>
      <c r="P627" s="34"/>
      <c r="Q627" s="34"/>
      <c r="R627" s="34"/>
      <c r="S627" s="34"/>
      <c r="T627" s="34"/>
      <c r="U627" s="34"/>
      <c r="V627" s="34"/>
    </row>
    <row r="628" spans="1:22">
      <c r="A628" s="35"/>
      <c r="B628" s="3"/>
      <c r="C628" s="35"/>
      <c r="D628" s="34"/>
      <c r="E628" s="34"/>
      <c r="F628" s="35"/>
      <c r="G628" s="35"/>
      <c r="H628" s="3"/>
      <c r="I628" s="35"/>
      <c r="J628" s="35" t="str">
        <f>IF(OR(TRIM(E628)="", TRIM(H628)=""), "", IFERROR(IF(OR(VLOOKUP(E628&amp;"|"&amp;H628&amp;"", DB!$A:$N, 6, FALSE)="", VLOOKUP(E628&amp;"|"&amp;H628&amp;"", DB!$A:$N, 6, FALSE)="-"), "", VLOOKUP(E628&amp;"|"&amp;H628&amp;"", DB!$A:$N, 6, FALSE)), ""))</f>
        <v/>
      </c>
      <c r="K628" s="35"/>
      <c r="L628" s="35"/>
      <c r="M628" s="35"/>
      <c r="N628" s="35" t="str">
        <f t="shared" si="9"/>
        <v/>
      </c>
      <c r="O628" s="34"/>
      <c r="P628" s="34"/>
      <c r="Q628" s="34"/>
      <c r="R628" s="34"/>
      <c r="S628" s="34"/>
      <c r="T628" s="34"/>
      <c r="U628" s="34"/>
      <c r="V628" s="34"/>
    </row>
    <row r="629" spans="1:22">
      <c r="A629" s="35"/>
      <c r="B629" s="3"/>
      <c r="C629" s="35"/>
      <c r="D629" s="34"/>
      <c r="E629" s="34"/>
      <c r="F629" s="35"/>
      <c r="G629" s="35"/>
      <c r="H629" s="3"/>
      <c r="I629" s="35"/>
      <c r="J629" s="35" t="str">
        <f>IF(OR(TRIM(E629)="", TRIM(H629)=""), "", IFERROR(IF(OR(VLOOKUP(E629&amp;"|"&amp;H629&amp;"", DB!$A:$N, 6, FALSE)="", VLOOKUP(E629&amp;"|"&amp;H629&amp;"", DB!$A:$N, 6, FALSE)="-"), "", VLOOKUP(E629&amp;"|"&amp;H629&amp;"", DB!$A:$N, 6, FALSE)), ""))</f>
        <v/>
      </c>
      <c r="K629" s="35"/>
      <c r="L629" s="35"/>
      <c r="M629" s="35"/>
      <c r="N629" s="35" t="str">
        <f t="shared" si="9"/>
        <v/>
      </c>
      <c r="O629" s="34"/>
      <c r="P629" s="34"/>
      <c r="Q629" s="34"/>
      <c r="R629" s="34"/>
      <c r="S629" s="34"/>
      <c r="T629" s="34"/>
      <c r="U629" s="34"/>
      <c r="V629" s="34"/>
    </row>
    <row r="630" spans="1:22">
      <c r="A630" s="35"/>
      <c r="B630" s="3"/>
      <c r="C630" s="35"/>
      <c r="D630" s="34"/>
      <c r="E630" s="34"/>
      <c r="F630" s="35"/>
      <c r="G630" s="35"/>
      <c r="H630" s="3"/>
      <c r="I630" s="35"/>
      <c r="J630" s="35" t="str">
        <f>IF(OR(TRIM(E630)="", TRIM(H630)=""), "", IFERROR(IF(OR(VLOOKUP(E630&amp;"|"&amp;H630&amp;"", DB!$A:$N, 6, FALSE)="", VLOOKUP(E630&amp;"|"&amp;H630&amp;"", DB!$A:$N, 6, FALSE)="-"), "", VLOOKUP(E630&amp;"|"&amp;H630&amp;"", DB!$A:$N, 6, FALSE)), ""))</f>
        <v/>
      </c>
      <c r="K630" s="35"/>
      <c r="L630" s="35"/>
      <c r="M630" s="35"/>
      <c r="N630" s="35" t="str">
        <f t="shared" si="9"/>
        <v/>
      </c>
      <c r="O630" s="34"/>
      <c r="P630" s="34"/>
      <c r="Q630" s="34"/>
      <c r="R630" s="34"/>
      <c r="S630" s="34"/>
      <c r="T630" s="34"/>
      <c r="U630" s="34"/>
      <c r="V630" s="34"/>
    </row>
    <row r="631" spans="1:22">
      <c r="A631" s="35"/>
      <c r="B631" s="3"/>
      <c r="C631" s="35"/>
      <c r="D631" s="34"/>
      <c r="E631" s="34"/>
      <c r="F631" s="35"/>
      <c r="G631" s="35"/>
      <c r="H631" s="3"/>
      <c r="I631" s="35"/>
      <c r="J631" s="35" t="str">
        <f>IF(OR(TRIM(E631)="", TRIM(H631)=""), "", IFERROR(IF(OR(VLOOKUP(E631&amp;"|"&amp;H631&amp;"", DB!$A:$N, 6, FALSE)="", VLOOKUP(E631&amp;"|"&amp;H631&amp;"", DB!$A:$N, 6, FALSE)="-"), "", VLOOKUP(E631&amp;"|"&amp;H631&amp;"", DB!$A:$N, 6, FALSE)), ""))</f>
        <v/>
      </c>
      <c r="K631" s="35"/>
      <c r="L631" s="35"/>
      <c r="M631" s="35"/>
      <c r="N631" s="35" t="str">
        <f t="shared" si="9"/>
        <v/>
      </c>
      <c r="O631" s="34"/>
      <c r="P631" s="34"/>
      <c r="Q631" s="34"/>
      <c r="R631" s="34"/>
      <c r="S631" s="34"/>
      <c r="T631" s="34"/>
      <c r="U631" s="34"/>
      <c r="V631" s="34"/>
    </row>
    <row r="632" spans="1:22">
      <c r="A632" s="35"/>
      <c r="B632" s="3"/>
      <c r="C632" s="35"/>
      <c r="D632" s="34"/>
      <c r="E632" s="34"/>
      <c r="F632" s="35"/>
      <c r="G632" s="35"/>
      <c r="H632" s="3"/>
      <c r="I632" s="35"/>
      <c r="J632" s="35" t="str">
        <f>IF(OR(TRIM(E632)="", TRIM(H632)=""), "", IFERROR(IF(OR(VLOOKUP(E632&amp;"|"&amp;H632&amp;"", DB!$A:$N, 6, FALSE)="", VLOOKUP(E632&amp;"|"&amp;H632&amp;"", DB!$A:$N, 6, FALSE)="-"), "", VLOOKUP(E632&amp;"|"&amp;H632&amp;"", DB!$A:$N, 6, FALSE)), ""))</f>
        <v/>
      </c>
      <c r="K632" s="35"/>
      <c r="L632" s="35"/>
      <c r="M632" s="35"/>
      <c r="N632" s="35" t="str">
        <f t="shared" si="9"/>
        <v/>
      </c>
      <c r="O632" s="34"/>
      <c r="P632" s="34"/>
      <c r="Q632" s="34"/>
      <c r="R632" s="34"/>
      <c r="S632" s="34"/>
      <c r="T632" s="34"/>
      <c r="U632" s="34"/>
      <c r="V632" s="34"/>
    </row>
    <row r="633" spans="1:22">
      <c r="A633" s="35"/>
      <c r="B633" s="3"/>
      <c r="C633" s="35"/>
      <c r="D633" s="34"/>
      <c r="E633" s="34"/>
      <c r="F633" s="35"/>
      <c r="G633" s="35"/>
      <c r="H633" s="3"/>
      <c r="I633" s="35"/>
      <c r="J633" s="35" t="str">
        <f>IF(OR(TRIM(E633)="", TRIM(H633)=""), "", IFERROR(IF(OR(VLOOKUP(E633&amp;"|"&amp;H633&amp;"", DB!$A:$N, 6, FALSE)="", VLOOKUP(E633&amp;"|"&amp;H633&amp;"", DB!$A:$N, 6, FALSE)="-"), "", VLOOKUP(E633&amp;"|"&amp;H633&amp;"", DB!$A:$N, 6, FALSE)), ""))</f>
        <v/>
      </c>
      <c r="K633" s="35"/>
      <c r="L633" s="35"/>
      <c r="M633" s="35"/>
      <c r="N633" s="35" t="str">
        <f t="shared" si="9"/>
        <v/>
      </c>
      <c r="O633" s="34"/>
      <c r="P633" s="34"/>
      <c r="Q633" s="34"/>
      <c r="R633" s="34"/>
      <c r="S633" s="34"/>
      <c r="T633" s="34"/>
      <c r="U633" s="34"/>
      <c r="V633" s="34"/>
    </row>
    <row r="634" spans="1:22">
      <c r="A634" s="35"/>
      <c r="B634" s="3"/>
      <c r="C634" s="35"/>
      <c r="D634" s="34"/>
      <c r="E634" s="34"/>
      <c r="F634" s="35"/>
      <c r="G634" s="35"/>
      <c r="H634" s="3"/>
      <c r="I634" s="35"/>
      <c r="J634" s="35" t="str">
        <f>IF(OR(TRIM(E634)="", TRIM(H634)=""), "", IFERROR(IF(OR(VLOOKUP(E634&amp;"|"&amp;H634&amp;"", DB!$A:$N, 6, FALSE)="", VLOOKUP(E634&amp;"|"&amp;H634&amp;"", DB!$A:$N, 6, FALSE)="-"), "", VLOOKUP(E634&amp;"|"&amp;H634&amp;"", DB!$A:$N, 6, FALSE)), ""))</f>
        <v/>
      </c>
      <c r="K634" s="35"/>
      <c r="L634" s="35"/>
      <c r="M634" s="35"/>
      <c r="N634" s="35" t="str">
        <f t="shared" si="9"/>
        <v/>
      </c>
      <c r="O634" s="34"/>
      <c r="P634" s="34"/>
      <c r="Q634" s="34"/>
      <c r="R634" s="34"/>
      <c r="S634" s="34"/>
      <c r="T634" s="34"/>
      <c r="U634" s="34"/>
      <c r="V634" s="34"/>
    </row>
    <row r="635" spans="1:22">
      <c r="A635" s="35"/>
      <c r="B635" s="3"/>
      <c r="C635" s="35"/>
      <c r="D635" s="34"/>
      <c r="E635" s="34"/>
      <c r="F635" s="35"/>
      <c r="G635" s="35"/>
      <c r="H635" s="3"/>
      <c r="I635" s="35"/>
      <c r="J635" s="35" t="str">
        <f>IF(OR(TRIM(E635)="", TRIM(H635)=""), "", IFERROR(IF(OR(VLOOKUP(E635&amp;"|"&amp;H635&amp;"", DB!$A:$N, 6, FALSE)="", VLOOKUP(E635&amp;"|"&amp;H635&amp;"", DB!$A:$N, 6, FALSE)="-"), "", VLOOKUP(E635&amp;"|"&amp;H635&amp;"", DB!$A:$N, 6, FALSE)), ""))</f>
        <v/>
      </c>
      <c r="K635" s="35"/>
      <c r="L635" s="35"/>
      <c r="M635" s="35"/>
      <c r="N635" s="35" t="str">
        <f t="shared" si="9"/>
        <v/>
      </c>
      <c r="O635" s="34"/>
      <c r="P635" s="34"/>
      <c r="Q635" s="34"/>
      <c r="R635" s="34"/>
      <c r="S635" s="34"/>
      <c r="T635" s="34"/>
      <c r="U635" s="34"/>
      <c r="V635" s="34"/>
    </row>
    <row r="636" spans="1:22">
      <c r="A636" s="35"/>
      <c r="B636" s="3"/>
      <c r="C636" s="35"/>
      <c r="D636" s="34"/>
      <c r="E636" s="34"/>
      <c r="F636" s="35"/>
      <c r="G636" s="35"/>
      <c r="H636" s="3"/>
      <c r="I636" s="35"/>
      <c r="J636" s="35" t="str">
        <f>IF(OR(TRIM(E636)="", TRIM(H636)=""), "", IFERROR(IF(OR(VLOOKUP(E636&amp;"|"&amp;H636&amp;"", DB!$A:$N, 6, FALSE)="", VLOOKUP(E636&amp;"|"&amp;H636&amp;"", DB!$A:$N, 6, FALSE)="-"), "", VLOOKUP(E636&amp;"|"&amp;H636&amp;"", DB!$A:$N, 6, FALSE)), ""))</f>
        <v/>
      </c>
      <c r="K636" s="35"/>
      <c r="L636" s="35"/>
      <c r="M636" s="35"/>
      <c r="N636" s="35" t="str">
        <f t="shared" si="9"/>
        <v/>
      </c>
      <c r="O636" s="34"/>
      <c r="P636" s="34"/>
      <c r="Q636" s="34"/>
      <c r="R636" s="34"/>
      <c r="S636" s="34"/>
      <c r="T636" s="34"/>
      <c r="U636" s="34"/>
      <c r="V636" s="34"/>
    </row>
    <row r="637" spans="1:22">
      <c r="A637" s="35"/>
      <c r="B637" s="3"/>
      <c r="C637" s="35"/>
      <c r="D637" s="34"/>
      <c r="E637" s="34"/>
      <c r="F637" s="35"/>
      <c r="G637" s="35"/>
      <c r="H637" s="3"/>
      <c r="I637" s="35"/>
      <c r="J637" s="35" t="str">
        <f>IF(OR(TRIM(E637)="", TRIM(H637)=""), "", IFERROR(IF(OR(VLOOKUP(E637&amp;"|"&amp;H637&amp;"", DB!$A:$N, 6, FALSE)="", VLOOKUP(E637&amp;"|"&amp;H637&amp;"", DB!$A:$N, 6, FALSE)="-"), "", VLOOKUP(E637&amp;"|"&amp;H637&amp;"", DB!$A:$N, 6, FALSE)), ""))</f>
        <v/>
      </c>
      <c r="K637" s="35"/>
      <c r="L637" s="35"/>
      <c r="M637" s="35"/>
      <c r="N637" s="35" t="str">
        <f t="shared" si="9"/>
        <v/>
      </c>
      <c r="O637" s="34"/>
      <c r="P637" s="34"/>
      <c r="Q637" s="34"/>
      <c r="R637" s="34"/>
      <c r="S637" s="34"/>
      <c r="T637" s="34"/>
      <c r="U637" s="34"/>
      <c r="V637" s="34"/>
    </row>
    <row r="638" spans="1:22">
      <c r="A638" s="35"/>
      <c r="B638" s="3"/>
      <c r="C638" s="35"/>
      <c r="D638" s="34"/>
      <c r="E638" s="34"/>
      <c r="F638" s="35"/>
      <c r="G638" s="35"/>
      <c r="H638" s="3"/>
      <c r="I638" s="35"/>
      <c r="J638" s="35" t="str">
        <f>IF(OR(TRIM(E638)="", TRIM(H638)=""), "", IFERROR(IF(OR(VLOOKUP(E638&amp;"|"&amp;H638&amp;"", DB!$A:$N, 6, FALSE)="", VLOOKUP(E638&amp;"|"&amp;H638&amp;"", DB!$A:$N, 6, FALSE)="-"), "", VLOOKUP(E638&amp;"|"&amp;H638&amp;"", DB!$A:$N, 6, FALSE)), ""))</f>
        <v/>
      </c>
      <c r="K638" s="35"/>
      <c r="L638" s="35"/>
      <c r="M638" s="35"/>
      <c r="N638" s="35" t="str">
        <f t="shared" si="9"/>
        <v/>
      </c>
      <c r="O638" s="34"/>
      <c r="P638" s="34"/>
      <c r="Q638" s="34"/>
      <c r="R638" s="34"/>
      <c r="S638" s="34"/>
      <c r="T638" s="34"/>
      <c r="U638" s="34"/>
      <c r="V638" s="34"/>
    </row>
    <row r="639" spans="1:22">
      <c r="A639" s="35"/>
      <c r="B639" s="3"/>
      <c r="C639" s="35"/>
      <c r="D639" s="34"/>
      <c r="E639" s="34"/>
      <c r="F639" s="35"/>
      <c r="G639" s="35"/>
      <c r="H639" s="3"/>
      <c r="I639" s="35"/>
      <c r="J639" s="35" t="str">
        <f>IF(OR(TRIM(E639)="", TRIM(H639)=""), "", IFERROR(IF(OR(VLOOKUP(E639&amp;"|"&amp;H639&amp;"", DB!$A:$N, 6, FALSE)="", VLOOKUP(E639&amp;"|"&amp;H639&amp;"", DB!$A:$N, 6, FALSE)="-"), "", VLOOKUP(E639&amp;"|"&amp;H639&amp;"", DB!$A:$N, 6, FALSE)), ""))</f>
        <v/>
      </c>
      <c r="K639" s="35"/>
      <c r="L639" s="35"/>
      <c r="M639" s="35"/>
      <c r="N639" s="35" t="str">
        <f t="shared" si="9"/>
        <v/>
      </c>
      <c r="O639" s="34"/>
      <c r="P639" s="34"/>
      <c r="Q639" s="34"/>
      <c r="R639" s="34"/>
      <c r="S639" s="34"/>
      <c r="T639" s="34"/>
      <c r="U639" s="34"/>
      <c r="V639" s="34"/>
    </row>
    <row r="640" spans="1:22">
      <c r="A640" s="35"/>
      <c r="B640" s="3"/>
      <c r="C640" s="35"/>
      <c r="D640" s="34"/>
      <c r="E640" s="34"/>
      <c r="F640" s="35"/>
      <c r="G640" s="35"/>
      <c r="H640" s="3"/>
      <c r="I640" s="35"/>
      <c r="J640" s="35" t="str">
        <f>IF(OR(TRIM(E640)="", TRIM(H640)=""), "", IFERROR(IF(OR(VLOOKUP(E640&amp;"|"&amp;H640&amp;"", DB!$A:$N, 6, FALSE)="", VLOOKUP(E640&amp;"|"&amp;H640&amp;"", DB!$A:$N, 6, FALSE)="-"), "", VLOOKUP(E640&amp;"|"&amp;H640&amp;"", DB!$A:$N, 6, FALSE)), ""))</f>
        <v/>
      </c>
      <c r="K640" s="35"/>
      <c r="L640" s="35"/>
      <c r="M640" s="35"/>
      <c r="N640" s="35" t="str">
        <f t="shared" si="9"/>
        <v/>
      </c>
      <c r="O640" s="34"/>
      <c r="P640" s="34"/>
      <c r="Q640" s="34"/>
      <c r="R640" s="34"/>
      <c r="S640" s="34"/>
      <c r="T640" s="34"/>
      <c r="U640" s="34"/>
      <c r="V640" s="34"/>
    </row>
    <row r="641" spans="1:22">
      <c r="A641" s="35"/>
      <c r="B641" s="3"/>
      <c r="C641" s="35"/>
      <c r="D641" s="34"/>
      <c r="E641" s="34"/>
      <c r="F641" s="35"/>
      <c r="G641" s="35"/>
      <c r="H641" s="3"/>
      <c r="I641" s="35"/>
      <c r="J641" s="35" t="str">
        <f>IF(OR(TRIM(E641)="", TRIM(H641)=""), "", IFERROR(IF(OR(VLOOKUP(E641&amp;"|"&amp;H641&amp;"", DB!$A:$N, 6, FALSE)="", VLOOKUP(E641&amp;"|"&amp;H641&amp;"", DB!$A:$N, 6, FALSE)="-"), "", VLOOKUP(E641&amp;"|"&amp;H641&amp;"", DB!$A:$N, 6, FALSE)), ""))</f>
        <v/>
      </c>
      <c r="K641" s="35"/>
      <c r="L641" s="35"/>
      <c r="M641" s="35"/>
      <c r="N641" s="35" t="str">
        <f t="shared" si="9"/>
        <v/>
      </c>
      <c r="O641" s="34"/>
      <c r="P641" s="34"/>
      <c r="Q641" s="34"/>
      <c r="R641" s="34"/>
      <c r="S641" s="34"/>
      <c r="T641" s="34"/>
      <c r="U641" s="34"/>
      <c r="V641" s="34"/>
    </row>
    <row r="642" spans="1:22">
      <c r="A642" s="35"/>
      <c r="B642" s="3"/>
      <c r="C642" s="35"/>
      <c r="D642" s="34"/>
      <c r="E642" s="34"/>
      <c r="F642" s="35"/>
      <c r="G642" s="35"/>
      <c r="H642" s="3"/>
      <c r="I642" s="35"/>
      <c r="J642" s="35" t="str">
        <f>IF(OR(TRIM(E642)="", TRIM(H642)=""), "", IFERROR(IF(OR(VLOOKUP(E642&amp;"|"&amp;H642&amp;"", DB!$A:$N, 6, FALSE)="", VLOOKUP(E642&amp;"|"&amp;H642&amp;"", DB!$A:$N, 6, FALSE)="-"), "", VLOOKUP(E642&amp;"|"&amp;H642&amp;"", DB!$A:$N, 6, FALSE)), ""))</f>
        <v/>
      </c>
      <c r="K642" s="35"/>
      <c r="L642" s="35"/>
      <c r="M642" s="35"/>
      <c r="N642" s="35" t="str">
        <f t="shared" ref="N642:N705" si="10">IF(TRIM(D642)="", "", IF(N(L642)-N(M642)&lt;=0, "X", N(L642)-N(M642)))</f>
        <v/>
      </c>
      <c r="O642" s="34"/>
      <c r="P642" s="34"/>
      <c r="Q642" s="34"/>
      <c r="R642" s="34"/>
      <c r="S642" s="34"/>
      <c r="T642" s="34"/>
      <c r="U642" s="34"/>
      <c r="V642" s="34"/>
    </row>
    <row r="643" spans="1:22">
      <c r="A643" s="35"/>
      <c r="B643" s="3"/>
      <c r="C643" s="35"/>
      <c r="D643" s="34"/>
      <c r="E643" s="34"/>
      <c r="F643" s="35"/>
      <c r="G643" s="35"/>
      <c r="H643" s="3"/>
      <c r="I643" s="35"/>
      <c r="J643" s="35" t="str">
        <f>IF(OR(TRIM(E643)="", TRIM(H643)=""), "", IFERROR(IF(OR(VLOOKUP(E643&amp;"|"&amp;H643&amp;"", DB!$A:$N, 6, FALSE)="", VLOOKUP(E643&amp;"|"&amp;H643&amp;"", DB!$A:$N, 6, FALSE)="-"), "", VLOOKUP(E643&amp;"|"&amp;H643&amp;"", DB!$A:$N, 6, FALSE)), ""))</f>
        <v/>
      </c>
      <c r="K643" s="35"/>
      <c r="L643" s="35"/>
      <c r="M643" s="35"/>
      <c r="N643" s="35" t="str">
        <f t="shared" si="10"/>
        <v/>
      </c>
      <c r="O643" s="34"/>
      <c r="P643" s="34"/>
      <c r="Q643" s="34"/>
      <c r="R643" s="34"/>
      <c r="S643" s="34"/>
      <c r="T643" s="34"/>
      <c r="U643" s="34"/>
      <c r="V643" s="34"/>
    </row>
    <row r="644" spans="1:22">
      <c r="A644" s="35"/>
      <c r="B644" s="3"/>
      <c r="C644" s="35"/>
      <c r="D644" s="34"/>
      <c r="E644" s="34"/>
      <c r="F644" s="35"/>
      <c r="G644" s="35"/>
      <c r="H644" s="3"/>
      <c r="I644" s="35"/>
      <c r="J644" s="35" t="str">
        <f>IF(OR(TRIM(E644)="", TRIM(H644)=""), "", IFERROR(IF(OR(VLOOKUP(E644&amp;"|"&amp;H644&amp;"", DB!$A:$N, 6, FALSE)="", VLOOKUP(E644&amp;"|"&amp;H644&amp;"", DB!$A:$N, 6, FALSE)="-"), "", VLOOKUP(E644&amp;"|"&amp;H644&amp;"", DB!$A:$N, 6, FALSE)), ""))</f>
        <v/>
      </c>
      <c r="K644" s="35"/>
      <c r="L644" s="35"/>
      <c r="M644" s="35"/>
      <c r="N644" s="35" t="str">
        <f t="shared" si="10"/>
        <v/>
      </c>
      <c r="O644" s="34"/>
      <c r="P644" s="34"/>
      <c r="Q644" s="34"/>
      <c r="R644" s="34"/>
      <c r="S644" s="34"/>
      <c r="T644" s="34"/>
      <c r="U644" s="34"/>
      <c r="V644" s="34"/>
    </row>
    <row r="645" spans="1:22">
      <c r="A645" s="35"/>
      <c r="B645" s="3"/>
      <c r="C645" s="35"/>
      <c r="D645" s="34"/>
      <c r="E645" s="34"/>
      <c r="F645" s="35"/>
      <c r="G645" s="35"/>
      <c r="H645" s="3"/>
      <c r="I645" s="35"/>
      <c r="J645" s="35" t="str">
        <f>IF(OR(TRIM(E645)="", TRIM(H645)=""), "", IFERROR(IF(OR(VLOOKUP(E645&amp;"|"&amp;H645&amp;"", DB!$A:$N, 6, FALSE)="", VLOOKUP(E645&amp;"|"&amp;H645&amp;"", DB!$A:$N, 6, FALSE)="-"), "", VLOOKUP(E645&amp;"|"&amp;H645&amp;"", DB!$A:$N, 6, FALSE)), ""))</f>
        <v/>
      </c>
      <c r="K645" s="35"/>
      <c r="L645" s="35"/>
      <c r="M645" s="35"/>
      <c r="N645" s="35" t="str">
        <f t="shared" si="10"/>
        <v/>
      </c>
      <c r="O645" s="34"/>
      <c r="P645" s="34"/>
      <c r="Q645" s="34"/>
      <c r="R645" s="34"/>
      <c r="S645" s="34"/>
      <c r="T645" s="34"/>
      <c r="U645" s="34"/>
      <c r="V645" s="34"/>
    </row>
    <row r="646" spans="1:22">
      <c r="A646" s="35"/>
      <c r="B646" s="3"/>
      <c r="C646" s="35"/>
      <c r="D646" s="34"/>
      <c r="E646" s="34"/>
      <c r="F646" s="35"/>
      <c r="G646" s="35"/>
      <c r="H646" s="3"/>
      <c r="I646" s="35"/>
      <c r="J646" s="35" t="str">
        <f>IF(OR(TRIM(E646)="", TRIM(H646)=""), "", IFERROR(IF(OR(VLOOKUP(E646&amp;"|"&amp;H646&amp;"", DB!$A:$N, 6, FALSE)="", VLOOKUP(E646&amp;"|"&amp;H646&amp;"", DB!$A:$N, 6, FALSE)="-"), "", VLOOKUP(E646&amp;"|"&amp;H646&amp;"", DB!$A:$N, 6, FALSE)), ""))</f>
        <v/>
      </c>
      <c r="K646" s="35"/>
      <c r="L646" s="35"/>
      <c r="M646" s="35"/>
      <c r="N646" s="35" t="str">
        <f t="shared" si="10"/>
        <v/>
      </c>
      <c r="O646" s="34"/>
      <c r="P646" s="34"/>
      <c r="Q646" s="34"/>
      <c r="R646" s="34"/>
      <c r="S646" s="34"/>
      <c r="T646" s="34"/>
      <c r="U646" s="34"/>
      <c r="V646" s="34"/>
    </row>
    <row r="647" spans="1:22">
      <c r="A647" s="35"/>
      <c r="B647" s="3"/>
      <c r="C647" s="35"/>
      <c r="D647" s="34"/>
      <c r="E647" s="34"/>
      <c r="F647" s="35"/>
      <c r="G647" s="35"/>
      <c r="H647" s="3"/>
      <c r="I647" s="35"/>
      <c r="J647" s="35" t="str">
        <f>IF(OR(TRIM(E647)="", TRIM(H647)=""), "", IFERROR(IF(OR(VLOOKUP(E647&amp;"|"&amp;H647&amp;"", DB!$A:$N, 6, FALSE)="", VLOOKUP(E647&amp;"|"&amp;H647&amp;"", DB!$A:$N, 6, FALSE)="-"), "", VLOOKUP(E647&amp;"|"&amp;H647&amp;"", DB!$A:$N, 6, FALSE)), ""))</f>
        <v/>
      </c>
      <c r="K647" s="35"/>
      <c r="L647" s="35"/>
      <c r="M647" s="35"/>
      <c r="N647" s="35" t="str">
        <f t="shared" si="10"/>
        <v/>
      </c>
      <c r="O647" s="34"/>
      <c r="P647" s="34"/>
      <c r="Q647" s="34"/>
      <c r="R647" s="34"/>
      <c r="S647" s="34"/>
      <c r="T647" s="34"/>
      <c r="U647" s="34"/>
      <c r="V647" s="34"/>
    </row>
    <row r="648" spans="1:22">
      <c r="A648" s="35"/>
      <c r="B648" s="3"/>
      <c r="C648" s="35"/>
      <c r="D648" s="34"/>
      <c r="E648" s="34"/>
      <c r="F648" s="35"/>
      <c r="G648" s="35"/>
      <c r="H648" s="3"/>
      <c r="I648" s="35"/>
      <c r="J648" s="35" t="str">
        <f>IF(OR(TRIM(E648)="", TRIM(H648)=""), "", IFERROR(IF(OR(VLOOKUP(E648&amp;"|"&amp;H648&amp;"", DB!$A:$N, 6, FALSE)="", VLOOKUP(E648&amp;"|"&amp;H648&amp;"", DB!$A:$N, 6, FALSE)="-"), "", VLOOKUP(E648&amp;"|"&amp;H648&amp;"", DB!$A:$N, 6, FALSE)), ""))</f>
        <v/>
      </c>
      <c r="K648" s="35"/>
      <c r="L648" s="35"/>
      <c r="M648" s="35"/>
      <c r="N648" s="35" t="str">
        <f t="shared" si="10"/>
        <v/>
      </c>
      <c r="O648" s="34"/>
      <c r="P648" s="34"/>
      <c r="Q648" s="34"/>
      <c r="R648" s="34"/>
      <c r="S648" s="34"/>
      <c r="T648" s="34"/>
      <c r="U648" s="34"/>
      <c r="V648" s="34"/>
    </row>
    <row r="649" spans="1:22">
      <c r="A649" s="35"/>
      <c r="B649" s="3"/>
      <c r="C649" s="35"/>
      <c r="D649" s="34"/>
      <c r="E649" s="34"/>
      <c r="F649" s="35"/>
      <c r="G649" s="35"/>
      <c r="H649" s="3"/>
      <c r="I649" s="35"/>
      <c r="J649" s="35" t="str">
        <f>IF(OR(TRIM(E649)="", TRIM(H649)=""), "", IFERROR(IF(OR(VLOOKUP(E649&amp;"|"&amp;H649&amp;"", DB!$A:$N, 6, FALSE)="", VLOOKUP(E649&amp;"|"&amp;H649&amp;"", DB!$A:$N, 6, FALSE)="-"), "", VLOOKUP(E649&amp;"|"&amp;H649&amp;"", DB!$A:$N, 6, FALSE)), ""))</f>
        <v/>
      </c>
      <c r="K649" s="35"/>
      <c r="L649" s="35"/>
      <c r="M649" s="35"/>
      <c r="N649" s="35" t="str">
        <f t="shared" si="10"/>
        <v/>
      </c>
      <c r="O649" s="34"/>
      <c r="P649" s="34"/>
      <c r="Q649" s="34"/>
      <c r="R649" s="34"/>
      <c r="S649" s="34"/>
      <c r="T649" s="34"/>
      <c r="U649" s="34"/>
      <c r="V649" s="34"/>
    </row>
    <row r="650" spans="1:22">
      <c r="A650" s="35"/>
      <c r="B650" s="3"/>
      <c r="C650" s="35"/>
      <c r="D650" s="34"/>
      <c r="E650" s="34"/>
      <c r="F650" s="35"/>
      <c r="G650" s="35"/>
      <c r="H650" s="3"/>
      <c r="I650" s="35"/>
      <c r="J650" s="35" t="str">
        <f>IF(OR(TRIM(E650)="", TRIM(H650)=""), "", IFERROR(IF(OR(VLOOKUP(E650&amp;"|"&amp;H650&amp;"", DB!$A:$N, 6, FALSE)="", VLOOKUP(E650&amp;"|"&amp;H650&amp;"", DB!$A:$N, 6, FALSE)="-"), "", VLOOKUP(E650&amp;"|"&amp;H650&amp;"", DB!$A:$N, 6, FALSE)), ""))</f>
        <v/>
      </c>
      <c r="K650" s="35"/>
      <c r="L650" s="35"/>
      <c r="M650" s="35"/>
      <c r="N650" s="35" t="str">
        <f t="shared" si="10"/>
        <v/>
      </c>
      <c r="O650" s="34"/>
      <c r="P650" s="34"/>
      <c r="Q650" s="34"/>
      <c r="R650" s="34"/>
      <c r="S650" s="34"/>
      <c r="T650" s="34"/>
      <c r="U650" s="34"/>
      <c r="V650" s="34"/>
    </row>
    <row r="651" spans="1:22">
      <c r="A651" s="35"/>
      <c r="B651" s="3"/>
      <c r="C651" s="35"/>
      <c r="D651" s="34"/>
      <c r="E651" s="34"/>
      <c r="F651" s="35"/>
      <c r="G651" s="35"/>
      <c r="H651" s="3"/>
      <c r="I651" s="35"/>
      <c r="J651" s="35" t="str">
        <f>IF(OR(TRIM(E651)="", TRIM(H651)=""), "", IFERROR(IF(OR(VLOOKUP(E651&amp;"|"&amp;H651&amp;"", DB!$A:$N, 6, FALSE)="", VLOOKUP(E651&amp;"|"&amp;H651&amp;"", DB!$A:$N, 6, FALSE)="-"), "", VLOOKUP(E651&amp;"|"&amp;H651&amp;"", DB!$A:$N, 6, FALSE)), ""))</f>
        <v/>
      </c>
      <c r="K651" s="35"/>
      <c r="L651" s="35"/>
      <c r="M651" s="35"/>
      <c r="N651" s="35" t="str">
        <f t="shared" si="10"/>
        <v/>
      </c>
      <c r="O651" s="34"/>
      <c r="P651" s="34"/>
      <c r="Q651" s="34"/>
      <c r="R651" s="34"/>
      <c r="S651" s="34"/>
      <c r="T651" s="34"/>
      <c r="U651" s="34"/>
      <c r="V651" s="34"/>
    </row>
    <row r="652" spans="1:22">
      <c r="A652" s="35"/>
      <c r="B652" s="3"/>
      <c r="C652" s="35"/>
      <c r="D652" s="34"/>
      <c r="E652" s="34"/>
      <c r="F652" s="35"/>
      <c r="G652" s="35"/>
      <c r="H652" s="3"/>
      <c r="I652" s="35"/>
      <c r="J652" s="35" t="str">
        <f>IF(OR(TRIM(E652)="", TRIM(H652)=""), "", IFERROR(IF(OR(VLOOKUP(E652&amp;"|"&amp;H652&amp;"", DB!$A:$N, 6, FALSE)="", VLOOKUP(E652&amp;"|"&amp;H652&amp;"", DB!$A:$N, 6, FALSE)="-"), "", VLOOKUP(E652&amp;"|"&amp;H652&amp;"", DB!$A:$N, 6, FALSE)), ""))</f>
        <v/>
      </c>
      <c r="K652" s="35"/>
      <c r="L652" s="35"/>
      <c r="M652" s="35"/>
      <c r="N652" s="35" t="str">
        <f t="shared" si="10"/>
        <v/>
      </c>
      <c r="O652" s="34"/>
      <c r="P652" s="34"/>
      <c r="Q652" s="34"/>
      <c r="R652" s="34"/>
      <c r="S652" s="34"/>
      <c r="T652" s="34"/>
      <c r="U652" s="34"/>
      <c r="V652" s="34"/>
    </row>
    <row r="653" spans="1:22">
      <c r="A653" s="35"/>
      <c r="B653" s="3"/>
      <c r="C653" s="35"/>
      <c r="D653" s="34"/>
      <c r="E653" s="34"/>
      <c r="F653" s="35"/>
      <c r="G653" s="35"/>
      <c r="H653" s="3"/>
      <c r="I653" s="35"/>
      <c r="J653" s="35" t="str">
        <f>IF(OR(TRIM(E653)="", TRIM(H653)=""), "", IFERROR(IF(OR(VLOOKUP(E653&amp;"|"&amp;H653&amp;"", DB!$A:$N, 6, FALSE)="", VLOOKUP(E653&amp;"|"&amp;H653&amp;"", DB!$A:$N, 6, FALSE)="-"), "", VLOOKUP(E653&amp;"|"&amp;H653&amp;"", DB!$A:$N, 6, FALSE)), ""))</f>
        <v/>
      </c>
      <c r="K653" s="35"/>
      <c r="L653" s="35"/>
      <c r="M653" s="35"/>
      <c r="N653" s="35" t="str">
        <f t="shared" si="10"/>
        <v/>
      </c>
      <c r="O653" s="34"/>
      <c r="P653" s="34"/>
      <c r="Q653" s="34"/>
      <c r="R653" s="34"/>
      <c r="S653" s="34"/>
      <c r="T653" s="34"/>
      <c r="U653" s="34"/>
      <c r="V653" s="34"/>
    </row>
    <row r="654" spans="1:22">
      <c r="A654" s="35"/>
      <c r="B654" s="3"/>
      <c r="C654" s="35"/>
      <c r="D654" s="34"/>
      <c r="E654" s="34"/>
      <c r="F654" s="35"/>
      <c r="G654" s="35"/>
      <c r="H654" s="3"/>
      <c r="I654" s="35"/>
      <c r="J654" s="35" t="str">
        <f>IF(OR(TRIM(E654)="", TRIM(H654)=""), "", IFERROR(IF(OR(VLOOKUP(E654&amp;"|"&amp;H654&amp;"", DB!$A:$N, 6, FALSE)="", VLOOKUP(E654&amp;"|"&amp;H654&amp;"", DB!$A:$N, 6, FALSE)="-"), "", VLOOKUP(E654&amp;"|"&amp;H654&amp;"", DB!$A:$N, 6, FALSE)), ""))</f>
        <v/>
      </c>
      <c r="K654" s="35"/>
      <c r="L654" s="35"/>
      <c r="M654" s="35"/>
      <c r="N654" s="35" t="str">
        <f t="shared" si="10"/>
        <v/>
      </c>
      <c r="O654" s="34"/>
      <c r="P654" s="34"/>
      <c r="Q654" s="34"/>
      <c r="R654" s="34"/>
      <c r="S654" s="34"/>
      <c r="T654" s="34"/>
      <c r="U654" s="34"/>
      <c r="V654" s="34"/>
    </row>
    <row r="655" spans="1:22">
      <c r="A655" s="35"/>
      <c r="B655" s="3"/>
      <c r="C655" s="35"/>
      <c r="D655" s="34"/>
      <c r="E655" s="34"/>
      <c r="F655" s="35"/>
      <c r="G655" s="35"/>
      <c r="H655" s="3"/>
      <c r="I655" s="35"/>
      <c r="J655" s="35" t="str">
        <f>IF(OR(TRIM(E655)="", TRIM(H655)=""), "", IFERROR(IF(OR(VLOOKUP(E655&amp;"|"&amp;H655&amp;"", DB!$A:$N, 6, FALSE)="", VLOOKUP(E655&amp;"|"&amp;H655&amp;"", DB!$A:$N, 6, FALSE)="-"), "", VLOOKUP(E655&amp;"|"&amp;H655&amp;"", DB!$A:$N, 6, FALSE)), ""))</f>
        <v/>
      </c>
      <c r="K655" s="35"/>
      <c r="L655" s="35"/>
      <c r="M655" s="35"/>
      <c r="N655" s="35" t="str">
        <f t="shared" si="10"/>
        <v/>
      </c>
      <c r="O655" s="34"/>
      <c r="P655" s="34"/>
      <c r="Q655" s="34"/>
      <c r="R655" s="34"/>
      <c r="S655" s="34"/>
      <c r="T655" s="34"/>
      <c r="U655" s="34"/>
      <c r="V655" s="34"/>
    </row>
    <row r="656" spans="1:22">
      <c r="A656" s="35"/>
      <c r="B656" s="3"/>
      <c r="C656" s="35"/>
      <c r="D656" s="34"/>
      <c r="E656" s="34"/>
      <c r="F656" s="35"/>
      <c r="G656" s="35"/>
      <c r="H656" s="3"/>
      <c r="I656" s="35"/>
      <c r="J656" s="35" t="str">
        <f>IF(OR(TRIM(E656)="", TRIM(H656)=""), "", IFERROR(IF(OR(VLOOKUP(E656&amp;"|"&amp;H656&amp;"", DB!$A:$N, 6, FALSE)="", VLOOKUP(E656&amp;"|"&amp;H656&amp;"", DB!$A:$N, 6, FALSE)="-"), "", VLOOKUP(E656&amp;"|"&amp;H656&amp;"", DB!$A:$N, 6, FALSE)), ""))</f>
        <v/>
      </c>
      <c r="K656" s="35"/>
      <c r="L656" s="35"/>
      <c r="M656" s="35"/>
      <c r="N656" s="35" t="str">
        <f t="shared" si="10"/>
        <v/>
      </c>
      <c r="O656" s="34"/>
      <c r="P656" s="34"/>
      <c r="Q656" s="34"/>
      <c r="R656" s="34"/>
      <c r="S656" s="34"/>
      <c r="T656" s="34"/>
      <c r="U656" s="34"/>
      <c r="V656" s="34"/>
    </row>
    <row r="657" spans="1:22">
      <c r="A657" s="35"/>
      <c r="B657" s="3"/>
      <c r="C657" s="35"/>
      <c r="D657" s="34"/>
      <c r="E657" s="34"/>
      <c r="F657" s="35"/>
      <c r="G657" s="35"/>
      <c r="H657" s="3"/>
      <c r="I657" s="35"/>
      <c r="J657" s="35" t="str">
        <f>IF(OR(TRIM(E657)="", TRIM(H657)=""), "", IFERROR(IF(OR(VLOOKUP(E657&amp;"|"&amp;H657&amp;"", DB!$A:$N, 6, FALSE)="", VLOOKUP(E657&amp;"|"&amp;H657&amp;"", DB!$A:$N, 6, FALSE)="-"), "", VLOOKUP(E657&amp;"|"&amp;H657&amp;"", DB!$A:$N, 6, FALSE)), ""))</f>
        <v/>
      </c>
      <c r="K657" s="35"/>
      <c r="L657" s="35"/>
      <c r="M657" s="35"/>
      <c r="N657" s="35" t="str">
        <f t="shared" si="10"/>
        <v/>
      </c>
      <c r="O657" s="34"/>
      <c r="P657" s="34"/>
      <c r="Q657" s="34"/>
      <c r="R657" s="34"/>
      <c r="S657" s="34"/>
      <c r="T657" s="34"/>
      <c r="U657" s="34"/>
      <c r="V657" s="34"/>
    </row>
    <row r="658" spans="1:22">
      <c r="A658" s="35"/>
      <c r="B658" s="3"/>
      <c r="C658" s="35"/>
      <c r="D658" s="34"/>
      <c r="E658" s="34"/>
      <c r="F658" s="35"/>
      <c r="G658" s="35"/>
      <c r="H658" s="3"/>
      <c r="I658" s="35"/>
      <c r="J658" s="35" t="str">
        <f>IF(OR(TRIM(E658)="", TRIM(H658)=""), "", IFERROR(IF(OR(VLOOKUP(E658&amp;"|"&amp;H658&amp;"", DB!$A:$N, 6, FALSE)="", VLOOKUP(E658&amp;"|"&amp;H658&amp;"", DB!$A:$N, 6, FALSE)="-"), "", VLOOKUP(E658&amp;"|"&amp;H658&amp;"", DB!$A:$N, 6, FALSE)), ""))</f>
        <v/>
      </c>
      <c r="K658" s="35"/>
      <c r="L658" s="35"/>
      <c r="M658" s="35"/>
      <c r="N658" s="35" t="str">
        <f t="shared" si="10"/>
        <v/>
      </c>
      <c r="O658" s="34"/>
      <c r="P658" s="34"/>
      <c r="Q658" s="34"/>
      <c r="R658" s="34"/>
      <c r="S658" s="34"/>
      <c r="T658" s="34"/>
      <c r="U658" s="34"/>
      <c r="V658" s="34"/>
    </row>
    <row r="659" spans="1:22">
      <c r="A659" s="35"/>
      <c r="B659" s="3"/>
      <c r="C659" s="35"/>
      <c r="D659" s="34"/>
      <c r="E659" s="34"/>
      <c r="F659" s="35"/>
      <c r="G659" s="35"/>
      <c r="H659" s="3"/>
      <c r="I659" s="35"/>
      <c r="J659" s="35" t="str">
        <f>IF(OR(TRIM(E659)="", TRIM(H659)=""), "", IFERROR(IF(OR(VLOOKUP(E659&amp;"|"&amp;H659&amp;"", DB!$A:$N, 6, FALSE)="", VLOOKUP(E659&amp;"|"&amp;H659&amp;"", DB!$A:$N, 6, FALSE)="-"), "", VLOOKUP(E659&amp;"|"&amp;H659&amp;"", DB!$A:$N, 6, FALSE)), ""))</f>
        <v/>
      </c>
      <c r="K659" s="35"/>
      <c r="L659" s="35"/>
      <c r="M659" s="35"/>
      <c r="N659" s="35" t="str">
        <f t="shared" si="10"/>
        <v/>
      </c>
      <c r="O659" s="34"/>
      <c r="P659" s="34"/>
      <c r="Q659" s="34"/>
      <c r="R659" s="34"/>
      <c r="S659" s="34"/>
      <c r="T659" s="34"/>
      <c r="U659" s="34"/>
      <c r="V659" s="34"/>
    </row>
    <row r="660" spans="1:22">
      <c r="A660" s="35"/>
      <c r="B660" s="3"/>
      <c r="C660" s="35"/>
      <c r="D660" s="34"/>
      <c r="E660" s="34"/>
      <c r="F660" s="35"/>
      <c r="G660" s="35"/>
      <c r="H660" s="3"/>
      <c r="I660" s="35"/>
      <c r="J660" s="35" t="str">
        <f>IF(OR(TRIM(E660)="", TRIM(H660)=""), "", IFERROR(IF(OR(VLOOKUP(E660&amp;"|"&amp;H660&amp;"", DB!$A:$N, 6, FALSE)="", VLOOKUP(E660&amp;"|"&amp;H660&amp;"", DB!$A:$N, 6, FALSE)="-"), "", VLOOKUP(E660&amp;"|"&amp;H660&amp;"", DB!$A:$N, 6, FALSE)), ""))</f>
        <v/>
      </c>
      <c r="K660" s="35"/>
      <c r="L660" s="35"/>
      <c r="M660" s="35"/>
      <c r="N660" s="35" t="str">
        <f t="shared" si="10"/>
        <v/>
      </c>
      <c r="O660" s="34"/>
      <c r="P660" s="34"/>
      <c r="Q660" s="34"/>
      <c r="R660" s="34"/>
      <c r="S660" s="34"/>
      <c r="T660" s="34"/>
      <c r="U660" s="34"/>
      <c r="V660" s="34"/>
    </row>
    <row r="661" spans="1:22">
      <c r="A661" s="35"/>
      <c r="B661" s="3"/>
      <c r="C661" s="35"/>
      <c r="D661" s="34"/>
      <c r="E661" s="34"/>
      <c r="F661" s="35"/>
      <c r="G661" s="35"/>
      <c r="H661" s="3"/>
      <c r="I661" s="35"/>
      <c r="J661" s="35" t="str">
        <f>IF(OR(TRIM(E661)="", TRIM(H661)=""), "", IFERROR(IF(OR(VLOOKUP(E661&amp;"|"&amp;H661&amp;"", DB!$A:$N, 6, FALSE)="", VLOOKUP(E661&amp;"|"&amp;H661&amp;"", DB!$A:$N, 6, FALSE)="-"), "", VLOOKUP(E661&amp;"|"&amp;H661&amp;"", DB!$A:$N, 6, FALSE)), ""))</f>
        <v/>
      </c>
      <c r="K661" s="35"/>
      <c r="L661" s="35"/>
      <c r="M661" s="35"/>
      <c r="N661" s="35" t="str">
        <f t="shared" si="10"/>
        <v/>
      </c>
      <c r="O661" s="34"/>
      <c r="P661" s="34"/>
      <c r="Q661" s="34"/>
      <c r="R661" s="34"/>
      <c r="S661" s="34"/>
      <c r="T661" s="34"/>
      <c r="U661" s="34"/>
      <c r="V661" s="34"/>
    </row>
    <row r="662" spans="1:22">
      <c r="A662" s="35"/>
      <c r="B662" s="3"/>
      <c r="C662" s="35"/>
      <c r="D662" s="34"/>
      <c r="E662" s="34"/>
      <c r="F662" s="35"/>
      <c r="G662" s="35"/>
      <c r="H662" s="3"/>
      <c r="I662" s="35"/>
      <c r="J662" s="35" t="str">
        <f>IF(OR(TRIM(E662)="", TRIM(H662)=""), "", IFERROR(IF(OR(VLOOKUP(E662&amp;"|"&amp;H662&amp;"", DB!$A:$N, 6, FALSE)="", VLOOKUP(E662&amp;"|"&amp;H662&amp;"", DB!$A:$N, 6, FALSE)="-"), "", VLOOKUP(E662&amp;"|"&amp;H662&amp;"", DB!$A:$N, 6, FALSE)), ""))</f>
        <v/>
      </c>
      <c r="K662" s="35"/>
      <c r="L662" s="35"/>
      <c r="M662" s="35"/>
      <c r="N662" s="35" t="str">
        <f t="shared" si="10"/>
        <v/>
      </c>
      <c r="O662" s="34"/>
      <c r="P662" s="34"/>
      <c r="Q662" s="34"/>
      <c r="R662" s="34"/>
      <c r="S662" s="34"/>
      <c r="T662" s="34"/>
      <c r="U662" s="34"/>
      <c r="V662" s="34"/>
    </row>
    <row r="663" spans="1:22">
      <c r="A663" s="35"/>
      <c r="B663" s="3"/>
      <c r="C663" s="35"/>
      <c r="D663" s="34"/>
      <c r="E663" s="34"/>
      <c r="F663" s="35"/>
      <c r="G663" s="35"/>
      <c r="H663" s="3"/>
      <c r="I663" s="35"/>
      <c r="J663" s="35" t="str">
        <f>IF(OR(TRIM(E663)="", TRIM(H663)=""), "", IFERROR(IF(OR(VLOOKUP(E663&amp;"|"&amp;H663&amp;"", DB!$A:$N, 6, FALSE)="", VLOOKUP(E663&amp;"|"&amp;H663&amp;"", DB!$A:$N, 6, FALSE)="-"), "", VLOOKUP(E663&amp;"|"&amp;H663&amp;"", DB!$A:$N, 6, FALSE)), ""))</f>
        <v/>
      </c>
      <c r="K663" s="35"/>
      <c r="L663" s="35"/>
      <c r="M663" s="35"/>
      <c r="N663" s="35" t="str">
        <f t="shared" si="10"/>
        <v/>
      </c>
      <c r="O663" s="34"/>
      <c r="P663" s="34"/>
      <c r="Q663" s="34"/>
      <c r="R663" s="34"/>
      <c r="S663" s="34"/>
      <c r="T663" s="34"/>
      <c r="U663" s="34"/>
      <c r="V663" s="34"/>
    </row>
    <row r="664" spans="1:22">
      <c r="A664" s="35"/>
      <c r="B664" s="3"/>
      <c r="C664" s="35"/>
      <c r="D664" s="34"/>
      <c r="E664" s="34"/>
      <c r="F664" s="35"/>
      <c r="G664" s="35"/>
      <c r="H664" s="3"/>
      <c r="I664" s="35"/>
      <c r="J664" s="35" t="str">
        <f>IF(OR(TRIM(E664)="", TRIM(H664)=""), "", IFERROR(IF(OR(VLOOKUP(E664&amp;"|"&amp;H664&amp;"", DB!$A:$N, 6, FALSE)="", VLOOKUP(E664&amp;"|"&amp;H664&amp;"", DB!$A:$N, 6, FALSE)="-"), "", VLOOKUP(E664&amp;"|"&amp;H664&amp;"", DB!$A:$N, 6, FALSE)), ""))</f>
        <v/>
      </c>
      <c r="K664" s="35"/>
      <c r="L664" s="35"/>
      <c r="M664" s="35"/>
      <c r="N664" s="35" t="str">
        <f t="shared" si="10"/>
        <v/>
      </c>
      <c r="O664" s="34"/>
      <c r="P664" s="34"/>
      <c r="Q664" s="34"/>
      <c r="R664" s="34"/>
      <c r="S664" s="34"/>
      <c r="T664" s="34"/>
      <c r="U664" s="34"/>
      <c r="V664" s="34"/>
    </row>
    <row r="665" spans="1:22">
      <c r="A665" s="35"/>
      <c r="B665" s="3"/>
      <c r="C665" s="35"/>
      <c r="D665" s="34"/>
      <c r="E665" s="34"/>
      <c r="F665" s="35"/>
      <c r="G665" s="35"/>
      <c r="H665" s="3"/>
      <c r="I665" s="35"/>
      <c r="J665" s="35" t="str">
        <f>IF(OR(TRIM(E665)="", TRIM(H665)=""), "", IFERROR(IF(OR(VLOOKUP(E665&amp;"|"&amp;H665&amp;"", DB!$A:$N, 6, FALSE)="", VLOOKUP(E665&amp;"|"&amp;H665&amp;"", DB!$A:$N, 6, FALSE)="-"), "", VLOOKUP(E665&amp;"|"&amp;H665&amp;"", DB!$A:$N, 6, FALSE)), ""))</f>
        <v/>
      </c>
      <c r="K665" s="35"/>
      <c r="L665" s="35"/>
      <c r="M665" s="35"/>
      <c r="N665" s="35" t="str">
        <f t="shared" si="10"/>
        <v/>
      </c>
      <c r="O665" s="34"/>
      <c r="P665" s="34"/>
      <c r="Q665" s="34"/>
      <c r="R665" s="34"/>
      <c r="S665" s="34"/>
      <c r="T665" s="34"/>
      <c r="U665" s="34"/>
      <c r="V665" s="34"/>
    </row>
    <row r="666" spans="1:22">
      <c r="A666" s="35"/>
      <c r="B666" s="3"/>
      <c r="C666" s="35"/>
      <c r="D666" s="34"/>
      <c r="E666" s="34"/>
      <c r="F666" s="35"/>
      <c r="G666" s="35"/>
      <c r="H666" s="3"/>
      <c r="I666" s="35"/>
      <c r="J666" s="35" t="str">
        <f>IF(OR(TRIM(E666)="", TRIM(H666)=""), "", IFERROR(IF(OR(VLOOKUP(E666&amp;"|"&amp;H666&amp;"", DB!$A:$N, 6, FALSE)="", VLOOKUP(E666&amp;"|"&amp;H666&amp;"", DB!$A:$N, 6, FALSE)="-"), "", VLOOKUP(E666&amp;"|"&amp;H666&amp;"", DB!$A:$N, 6, FALSE)), ""))</f>
        <v/>
      </c>
      <c r="K666" s="35"/>
      <c r="L666" s="35"/>
      <c r="M666" s="35"/>
      <c r="N666" s="35" t="str">
        <f t="shared" si="10"/>
        <v/>
      </c>
      <c r="O666" s="34"/>
      <c r="P666" s="34"/>
      <c r="Q666" s="34"/>
      <c r="R666" s="34"/>
      <c r="S666" s="34"/>
      <c r="T666" s="34"/>
      <c r="U666" s="34"/>
      <c r="V666" s="34"/>
    </row>
    <row r="667" spans="1:22">
      <c r="A667" s="35"/>
      <c r="B667" s="3"/>
      <c r="C667" s="35"/>
      <c r="D667" s="34"/>
      <c r="E667" s="34"/>
      <c r="F667" s="35"/>
      <c r="G667" s="35"/>
      <c r="H667" s="3"/>
      <c r="I667" s="35"/>
      <c r="J667" s="35" t="str">
        <f>IF(OR(TRIM(E667)="", TRIM(H667)=""), "", IFERROR(IF(OR(VLOOKUP(E667&amp;"|"&amp;H667&amp;"", DB!$A:$N, 6, FALSE)="", VLOOKUP(E667&amp;"|"&amp;H667&amp;"", DB!$A:$N, 6, FALSE)="-"), "", VLOOKUP(E667&amp;"|"&amp;H667&amp;"", DB!$A:$N, 6, FALSE)), ""))</f>
        <v/>
      </c>
      <c r="K667" s="35"/>
      <c r="L667" s="35"/>
      <c r="M667" s="35"/>
      <c r="N667" s="35" t="str">
        <f t="shared" si="10"/>
        <v/>
      </c>
      <c r="O667" s="34"/>
      <c r="P667" s="34"/>
      <c r="Q667" s="34"/>
      <c r="R667" s="34"/>
      <c r="S667" s="34"/>
      <c r="T667" s="34"/>
      <c r="U667" s="34"/>
      <c r="V667" s="34"/>
    </row>
    <row r="668" spans="1:22">
      <c r="A668" s="35"/>
      <c r="B668" s="3"/>
      <c r="C668" s="35"/>
      <c r="D668" s="34"/>
      <c r="E668" s="34"/>
      <c r="F668" s="35"/>
      <c r="G668" s="35"/>
      <c r="H668" s="3"/>
      <c r="I668" s="35"/>
      <c r="J668" s="35" t="str">
        <f>IF(OR(TRIM(E668)="", TRIM(H668)=""), "", IFERROR(IF(OR(VLOOKUP(E668&amp;"|"&amp;H668&amp;"", DB!$A:$N, 6, FALSE)="", VLOOKUP(E668&amp;"|"&amp;H668&amp;"", DB!$A:$N, 6, FALSE)="-"), "", VLOOKUP(E668&amp;"|"&amp;H668&amp;"", DB!$A:$N, 6, FALSE)), ""))</f>
        <v/>
      </c>
      <c r="K668" s="35"/>
      <c r="L668" s="35"/>
      <c r="M668" s="35"/>
      <c r="N668" s="35" t="str">
        <f t="shared" si="10"/>
        <v/>
      </c>
      <c r="O668" s="34"/>
      <c r="P668" s="34"/>
      <c r="Q668" s="34"/>
      <c r="R668" s="34"/>
      <c r="S668" s="34"/>
      <c r="T668" s="34"/>
      <c r="U668" s="34"/>
      <c r="V668" s="34"/>
    </row>
    <row r="669" spans="1:22">
      <c r="A669" s="35"/>
      <c r="B669" s="3"/>
      <c r="C669" s="35"/>
      <c r="D669" s="34"/>
      <c r="E669" s="34"/>
      <c r="F669" s="35"/>
      <c r="G669" s="35"/>
      <c r="H669" s="3"/>
      <c r="I669" s="35"/>
      <c r="J669" s="35" t="str">
        <f>IF(OR(TRIM(E669)="", TRIM(H669)=""), "", IFERROR(IF(OR(VLOOKUP(E669&amp;"|"&amp;H669&amp;"", DB!$A:$N, 6, FALSE)="", VLOOKUP(E669&amp;"|"&amp;H669&amp;"", DB!$A:$N, 6, FALSE)="-"), "", VLOOKUP(E669&amp;"|"&amp;H669&amp;"", DB!$A:$N, 6, FALSE)), ""))</f>
        <v/>
      </c>
      <c r="K669" s="35"/>
      <c r="L669" s="35"/>
      <c r="M669" s="35"/>
      <c r="N669" s="35" t="str">
        <f t="shared" si="10"/>
        <v/>
      </c>
      <c r="O669" s="34"/>
      <c r="P669" s="34"/>
      <c r="Q669" s="34"/>
      <c r="R669" s="34"/>
      <c r="S669" s="34"/>
      <c r="T669" s="34"/>
      <c r="U669" s="34"/>
      <c r="V669" s="34"/>
    </row>
    <row r="670" spans="1:22">
      <c r="A670" s="35"/>
      <c r="B670" s="3"/>
      <c r="C670" s="35"/>
      <c r="D670" s="34"/>
      <c r="E670" s="34"/>
      <c r="F670" s="35"/>
      <c r="G670" s="35"/>
      <c r="H670" s="3"/>
      <c r="I670" s="35"/>
      <c r="J670" s="35" t="str">
        <f>IF(OR(TRIM(E670)="", TRIM(H670)=""), "", IFERROR(IF(OR(VLOOKUP(E670&amp;"|"&amp;H670&amp;"", DB!$A:$N, 6, FALSE)="", VLOOKUP(E670&amp;"|"&amp;H670&amp;"", DB!$A:$N, 6, FALSE)="-"), "", VLOOKUP(E670&amp;"|"&amp;H670&amp;"", DB!$A:$N, 6, FALSE)), ""))</f>
        <v/>
      </c>
      <c r="K670" s="35"/>
      <c r="L670" s="35"/>
      <c r="M670" s="35"/>
      <c r="N670" s="35" t="str">
        <f t="shared" si="10"/>
        <v/>
      </c>
      <c r="O670" s="34"/>
      <c r="P670" s="34"/>
      <c r="Q670" s="34"/>
      <c r="R670" s="34"/>
      <c r="S670" s="34"/>
      <c r="T670" s="34"/>
      <c r="U670" s="34"/>
      <c r="V670" s="34"/>
    </row>
    <row r="671" spans="1:22">
      <c r="A671" s="35"/>
      <c r="B671" s="3"/>
      <c r="C671" s="35"/>
      <c r="D671" s="34"/>
      <c r="E671" s="34"/>
      <c r="F671" s="35"/>
      <c r="G671" s="35"/>
      <c r="H671" s="3"/>
      <c r="I671" s="35"/>
      <c r="J671" s="35" t="str">
        <f>IF(OR(TRIM(E671)="", TRIM(H671)=""), "", IFERROR(IF(OR(VLOOKUP(E671&amp;"|"&amp;H671&amp;"", DB!$A:$N, 6, FALSE)="", VLOOKUP(E671&amp;"|"&amp;H671&amp;"", DB!$A:$N, 6, FALSE)="-"), "", VLOOKUP(E671&amp;"|"&amp;H671&amp;"", DB!$A:$N, 6, FALSE)), ""))</f>
        <v/>
      </c>
      <c r="K671" s="35"/>
      <c r="L671" s="35"/>
      <c r="M671" s="35"/>
      <c r="N671" s="35" t="str">
        <f t="shared" si="10"/>
        <v/>
      </c>
      <c r="O671" s="34"/>
      <c r="P671" s="34"/>
      <c r="Q671" s="34"/>
      <c r="R671" s="34"/>
      <c r="S671" s="34"/>
      <c r="T671" s="34"/>
      <c r="U671" s="34"/>
      <c r="V671" s="34"/>
    </row>
    <row r="672" spans="1:22">
      <c r="A672" s="35"/>
      <c r="B672" s="3"/>
      <c r="C672" s="35"/>
      <c r="D672" s="34"/>
      <c r="E672" s="34"/>
      <c r="F672" s="35"/>
      <c r="G672" s="35"/>
      <c r="H672" s="3"/>
      <c r="I672" s="35"/>
      <c r="J672" s="35" t="str">
        <f>IF(OR(TRIM(E672)="", TRIM(H672)=""), "", IFERROR(IF(OR(VLOOKUP(E672&amp;"|"&amp;H672&amp;"", DB!$A:$N, 6, FALSE)="", VLOOKUP(E672&amp;"|"&amp;H672&amp;"", DB!$A:$N, 6, FALSE)="-"), "", VLOOKUP(E672&amp;"|"&amp;H672&amp;"", DB!$A:$N, 6, FALSE)), ""))</f>
        <v/>
      </c>
      <c r="K672" s="35"/>
      <c r="L672" s="35"/>
      <c r="M672" s="35"/>
      <c r="N672" s="35" t="str">
        <f t="shared" si="10"/>
        <v/>
      </c>
      <c r="O672" s="34"/>
      <c r="P672" s="34"/>
      <c r="Q672" s="34"/>
      <c r="R672" s="34"/>
      <c r="S672" s="34"/>
      <c r="T672" s="34"/>
      <c r="U672" s="34"/>
      <c r="V672" s="34"/>
    </row>
    <row r="673" spans="1:22">
      <c r="A673" s="35"/>
      <c r="B673" s="3"/>
      <c r="C673" s="35"/>
      <c r="D673" s="34"/>
      <c r="E673" s="34"/>
      <c r="F673" s="35"/>
      <c r="G673" s="35"/>
      <c r="H673" s="3"/>
      <c r="I673" s="35"/>
      <c r="J673" s="35" t="str">
        <f>IF(OR(TRIM(E673)="", TRIM(H673)=""), "", IFERROR(IF(OR(VLOOKUP(E673&amp;"|"&amp;H673&amp;"", DB!$A:$N, 6, FALSE)="", VLOOKUP(E673&amp;"|"&amp;H673&amp;"", DB!$A:$N, 6, FALSE)="-"), "", VLOOKUP(E673&amp;"|"&amp;H673&amp;"", DB!$A:$N, 6, FALSE)), ""))</f>
        <v/>
      </c>
      <c r="K673" s="35"/>
      <c r="L673" s="35"/>
      <c r="M673" s="35"/>
      <c r="N673" s="35" t="str">
        <f t="shared" si="10"/>
        <v/>
      </c>
      <c r="O673" s="34"/>
      <c r="P673" s="34"/>
      <c r="Q673" s="34"/>
      <c r="R673" s="34"/>
      <c r="S673" s="34"/>
      <c r="T673" s="34"/>
      <c r="U673" s="34"/>
      <c r="V673" s="34"/>
    </row>
    <row r="674" spans="1:22">
      <c r="A674" s="35"/>
      <c r="B674" s="3"/>
      <c r="C674" s="35"/>
      <c r="D674" s="34"/>
      <c r="E674" s="34"/>
      <c r="F674" s="35"/>
      <c r="G674" s="35"/>
      <c r="H674" s="3"/>
      <c r="I674" s="35"/>
      <c r="J674" s="35" t="str">
        <f>IF(OR(TRIM(E674)="", TRIM(H674)=""), "", IFERROR(IF(OR(VLOOKUP(E674&amp;"|"&amp;H674&amp;"", DB!$A:$N, 6, FALSE)="", VLOOKUP(E674&amp;"|"&amp;H674&amp;"", DB!$A:$N, 6, FALSE)="-"), "", VLOOKUP(E674&amp;"|"&amp;H674&amp;"", DB!$A:$N, 6, FALSE)), ""))</f>
        <v/>
      </c>
      <c r="K674" s="35"/>
      <c r="L674" s="35"/>
      <c r="M674" s="35"/>
      <c r="N674" s="35" t="str">
        <f t="shared" si="10"/>
        <v/>
      </c>
      <c r="O674" s="34"/>
      <c r="P674" s="34"/>
      <c r="Q674" s="34"/>
      <c r="R674" s="34"/>
      <c r="S674" s="34"/>
      <c r="T674" s="34"/>
      <c r="U674" s="34"/>
      <c r="V674" s="34"/>
    </row>
    <row r="675" spans="1:22">
      <c r="A675" s="35"/>
      <c r="B675" s="3"/>
      <c r="C675" s="35"/>
      <c r="D675" s="34"/>
      <c r="E675" s="34"/>
      <c r="F675" s="35"/>
      <c r="G675" s="35"/>
      <c r="H675" s="3"/>
      <c r="I675" s="35"/>
      <c r="J675" s="35" t="str">
        <f>IF(OR(TRIM(E675)="", TRIM(H675)=""), "", IFERROR(IF(OR(VLOOKUP(E675&amp;"|"&amp;H675&amp;"", DB!$A:$N, 6, FALSE)="", VLOOKUP(E675&amp;"|"&amp;H675&amp;"", DB!$A:$N, 6, FALSE)="-"), "", VLOOKUP(E675&amp;"|"&amp;H675&amp;"", DB!$A:$N, 6, FALSE)), ""))</f>
        <v/>
      </c>
      <c r="K675" s="35"/>
      <c r="L675" s="35"/>
      <c r="M675" s="35"/>
      <c r="N675" s="35" t="str">
        <f t="shared" si="10"/>
        <v/>
      </c>
      <c r="O675" s="34"/>
      <c r="P675" s="34"/>
      <c r="Q675" s="34"/>
      <c r="R675" s="34"/>
      <c r="S675" s="34"/>
      <c r="T675" s="34"/>
      <c r="U675" s="34"/>
      <c r="V675" s="34"/>
    </row>
    <row r="676" spans="1:22">
      <c r="A676" s="35"/>
      <c r="B676" s="3"/>
      <c r="C676" s="35"/>
      <c r="D676" s="34"/>
      <c r="E676" s="34"/>
      <c r="F676" s="35"/>
      <c r="G676" s="35"/>
      <c r="H676" s="3"/>
      <c r="I676" s="35"/>
      <c r="J676" s="35" t="str">
        <f>IF(OR(TRIM(E676)="", TRIM(H676)=""), "", IFERROR(IF(OR(VLOOKUP(E676&amp;"|"&amp;H676&amp;"", DB!$A:$N, 6, FALSE)="", VLOOKUP(E676&amp;"|"&amp;H676&amp;"", DB!$A:$N, 6, FALSE)="-"), "", VLOOKUP(E676&amp;"|"&amp;H676&amp;"", DB!$A:$N, 6, FALSE)), ""))</f>
        <v/>
      </c>
      <c r="K676" s="35"/>
      <c r="L676" s="35"/>
      <c r="M676" s="35"/>
      <c r="N676" s="35" t="str">
        <f t="shared" si="10"/>
        <v/>
      </c>
      <c r="O676" s="34"/>
      <c r="P676" s="34"/>
      <c r="Q676" s="34"/>
      <c r="R676" s="34"/>
      <c r="S676" s="34"/>
      <c r="T676" s="34"/>
      <c r="U676" s="34"/>
      <c r="V676" s="34"/>
    </row>
    <row r="677" spans="1:22">
      <c r="A677" s="35"/>
      <c r="B677" s="3"/>
      <c r="C677" s="35"/>
      <c r="D677" s="34"/>
      <c r="E677" s="34"/>
      <c r="F677" s="35"/>
      <c r="G677" s="35"/>
      <c r="H677" s="3"/>
      <c r="I677" s="35"/>
      <c r="J677" s="35" t="str">
        <f>IF(OR(TRIM(E677)="", TRIM(H677)=""), "", IFERROR(IF(OR(VLOOKUP(E677&amp;"|"&amp;H677&amp;"", DB!$A:$N, 6, FALSE)="", VLOOKUP(E677&amp;"|"&amp;H677&amp;"", DB!$A:$N, 6, FALSE)="-"), "", VLOOKUP(E677&amp;"|"&amp;H677&amp;"", DB!$A:$N, 6, FALSE)), ""))</f>
        <v/>
      </c>
      <c r="K677" s="35"/>
      <c r="L677" s="35"/>
      <c r="M677" s="35"/>
      <c r="N677" s="35" t="str">
        <f t="shared" si="10"/>
        <v/>
      </c>
      <c r="O677" s="34"/>
      <c r="P677" s="34"/>
      <c r="Q677" s="34"/>
      <c r="R677" s="34"/>
      <c r="S677" s="34"/>
      <c r="T677" s="34"/>
      <c r="U677" s="34"/>
      <c r="V677" s="34"/>
    </row>
    <row r="678" spans="1:22">
      <c r="A678" s="35"/>
      <c r="B678" s="3"/>
      <c r="C678" s="35"/>
      <c r="D678" s="34"/>
      <c r="E678" s="34"/>
      <c r="F678" s="35"/>
      <c r="G678" s="35"/>
      <c r="H678" s="3"/>
      <c r="I678" s="35"/>
      <c r="J678" s="35" t="str">
        <f>IF(OR(TRIM(E678)="", TRIM(H678)=""), "", IFERROR(IF(OR(VLOOKUP(E678&amp;"|"&amp;H678&amp;"", DB!$A:$N, 6, FALSE)="", VLOOKUP(E678&amp;"|"&amp;H678&amp;"", DB!$A:$N, 6, FALSE)="-"), "", VLOOKUP(E678&amp;"|"&amp;H678&amp;"", DB!$A:$N, 6, FALSE)), ""))</f>
        <v/>
      </c>
      <c r="K678" s="35"/>
      <c r="L678" s="35"/>
      <c r="M678" s="35"/>
      <c r="N678" s="35" t="str">
        <f t="shared" si="10"/>
        <v/>
      </c>
      <c r="O678" s="34"/>
      <c r="P678" s="34"/>
      <c r="Q678" s="34"/>
      <c r="R678" s="34"/>
      <c r="S678" s="34"/>
      <c r="T678" s="34"/>
      <c r="U678" s="34"/>
      <c r="V678" s="34"/>
    </row>
    <row r="679" spans="1:22">
      <c r="A679" s="35"/>
      <c r="B679" s="3"/>
      <c r="C679" s="35"/>
      <c r="D679" s="34"/>
      <c r="E679" s="34"/>
      <c r="F679" s="35"/>
      <c r="G679" s="35"/>
      <c r="H679" s="3"/>
      <c r="I679" s="35"/>
      <c r="J679" s="35" t="str">
        <f>IF(OR(TRIM(E679)="", TRIM(H679)=""), "", IFERROR(IF(OR(VLOOKUP(E679&amp;"|"&amp;H679&amp;"", DB!$A:$N, 6, FALSE)="", VLOOKUP(E679&amp;"|"&amp;H679&amp;"", DB!$A:$N, 6, FALSE)="-"), "", VLOOKUP(E679&amp;"|"&amp;H679&amp;"", DB!$A:$N, 6, FALSE)), ""))</f>
        <v/>
      </c>
      <c r="K679" s="35"/>
      <c r="L679" s="35"/>
      <c r="M679" s="35"/>
      <c r="N679" s="35" t="str">
        <f t="shared" si="10"/>
        <v/>
      </c>
      <c r="O679" s="34"/>
      <c r="P679" s="34"/>
      <c r="Q679" s="34"/>
      <c r="R679" s="34"/>
      <c r="S679" s="34"/>
      <c r="T679" s="34"/>
      <c r="U679" s="34"/>
      <c r="V679" s="34"/>
    </row>
    <row r="680" spans="1:22">
      <c r="A680" s="35"/>
      <c r="B680" s="3"/>
      <c r="C680" s="35"/>
      <c r="D680" s="34"/>
      <c r="E680" s="34"/>
      <c r="F680" s="35"/>
      <c r="G680" s="35"/>
      <c r="H680" s="3"/>
      <c r="I680" s="35"/>
      <c r="J680" s="35" t="str">
        <f>IF(OR(TRIM(E680)="", TRIM(H680)=""), "", IFERROR(IF(OR(VLOOKUP(E680&amp;"|"&amp;H680&amp;"", DB!$A:$N, 6, FALSE)="", VLOOKUP(E680&amp;"|"&amp;H680&amp;"", DB!$A:$N, 6, FALSE)="-"), "", VLOOKUP(E680&amp;"|"&amp;H680&amp;"", DB!$A:$N, 6, FALSE)), ""))</f>
        <v/>
      </c>
      <c r="K680" s="35"/>
      <c r="L680" s="35"/>
      <c r="M680" s="35"/>
      <c r="N680" s="35" t="str">
        <f t="shared" si="10"/>
        <v/>
      </c>
      <c r="O680" s="34"/>
      <c r="P680" s="34"/>
      <c r="Q680" s="34"/>
      <c r="R680" s="34"/>
      <c r="S680" s="34"/>
      <c r="T680" s="34"/>
      <c r="U680" s="34"/>
      <c r="V680" s="34"/>
    </row>
    <row r="681" spans="1:22">
      <c r="A681" s="35"/>
      <c r="B681" s="3"/>
      <c r="C681" s="35"/>
      <c r="D681" s="34"/>
      <c r="E681" s="34"/>
      <c r="F681" s="35"/>
      <c r="G681" s="35"/>
      <c r="H681" s="3"/>
      <c r="I681" s="35"/>
      <c r="J681" s="35" t="str">
        <f>IF(OR(TRIM(E681)="", TRIM(H681)=""), "", IFERROR(IF(OR(VLOOKUP(E681&amp;"|"&amp;H681&amp;"", DB!$A:$N, 6, FALSE)="", VLOOKUP(E681&amp;"|"&amp;H681&amp;"", DB!$A:$N, 6, FALSE)="-"), "", VLOOKUP(E681&amp;"|"&amp;H681&amp;"", DB!$A:$N, 6, FALSE)), ""))</f>
        <v/>
      </c>
      <c r="K681" s="35"/>
      <c r="L681" s="35"/>
      <c r="M681" s="35"/>
      <c r="N681" s="35" t="str">
        <f t="shared" si="10"/>
        <v/>
      </c>
      <c r="O681" s="34"/>
      <c r="P681" s="34"/>
      <c r="Q681" s="34"/>
      <c r="R681" s="34"/>
      <c r="S681" s="34"/>
      <c r="T681" s="34"/>
      <c r="U681" s="34"/>
      <c r="V681" s="34"/>
    </row>
    <row r="682" spans="1:22">
      <c r="A682" s="35"/>
      <c r="B682" s="3"/>
      <c r="C682" s="35"/>
      <c r="D682" s="34"/>
      <c r="E682" s="34"/>
      <c r="F682" s="35"/>
      <c r="G682" s="35"/>
      <c r="H682" s="3"/>
      <c r="I682" s="35"/>
      <c r="J682" s="35" t="str">
        <f>IF(OR(TRIM(E682)="", TRIM(H682)=""), "", IFERROR(IF(OR(VLOOKUP(E682&amp;"|"&amp;H682&amp;"", DB!$A:$N, 6, FALSE)="", VLOOKUP(E682&amp;"|"&amp;H682&amp;"", DB!$A:$N, 6, FALSE)="-"), "", VLOOKUP(E682&amp;"|"&amp;H682&amp;"", DB!$A:$N, 6, FALSE)), ""))</f>
        <v/>
      </c>
      <c r="K682" s="35"/>
      <c r="L682" s="35"/>
      <c r="M682" s="35"/>
      <c r="N682" s="35" t="str">
        <f t="shared" si="10"/>
        <v/>
      </c>
      <c r="O682" s="34"/>
      <c r="P682" s="34"/>
      <c r="Q682" s="34"/>
      <c r="R682" s="34"/>
      <c r="S682" s="34"/>
      <c r="T682" s="34"/>
      <c r="U682" s="34"/>
      <c r="V682" s="34"/>
    </row>
    <row r="683" spans="1:22">
      <c r="A683" s="35"/>
      <c r="B683" s="3"/>
      <c r="C683" s="35"/>
      <c r="D683" s="34"/>
      <c r="E683" s="34"/>
      <c r="F683" s="35"/>
      <c r="G683" s="35"/>
      <c r="H683" s="3"/>
      <c r="I683" s="35"/>
      <c r="J683" s="35" t="str">
        <f>IF(OR(TRIM(E683)="", TRIM(H683)=""), "", IFERROR(IF(OR(VLOOKUP(E683&amp;"|"&amp;H683&amp;"", DB!$A:$N, 6, FALSE)="", VLOOKUP(E683&amp;"|"&amp;H683&amp;"", DB!$A:$N, 6, FALSE)="-"), "", VLOOKUP(E683&amp;"|"&amp;H683&amp;"", DB!$A:$N, 6, FALSE)), ""))</f>
        <v/>
      </c>
      <c r="K683" s="35"/>
      <c r="L683" s="35"/>
      <c r="M683" s="35"/>
      <c r="N683" s="35" t="str">
        <f t="shared" si="10"/>
        <v/>
      </c>
      <c r="O683" s="34"/>
      <c r="P683" s="34"/>
      <c r="Q683" s="34"/>
      <c r="R683" s="34"/>
      <c r="S683" s="34"/>
      <c r="T683" s="34"/>
      <c r="U683" s="34"/>
      <c r="V683" s="34"/>
    </row>
    <row r="684" spans="1:22">
      <c r="A684" s="35"/>
      <c r="B684" s="3"/>
      <c r="C684" s="35"/>
      <c r="D684" s="34"/>
      <c r="E684" s="34"/>
      <c r="F684" s="35"/>
      <c r="G684" s="35"/>
      <c r="H684" s="3"/>
      <c r="I684" s="35"/>
      <c r="J684" s="35" t="str">
        <f>IF(OR(TRIM(E684)="", TRIM(H684)=""), "", IFERROR(IF(OR(VLOOKUP(E684&amp;"|"&amp;H684&amp;"", DB!$A:$N, 6, FALSE)="", VLOOKUP(E684&amp;"|"&amp;H684&amp;"", DB!$A:$N, 6, FALSE)="-"), "", VLOOKUP(E684&amp;"|"&amp;H684&amp;"", DB!$A:$N, 6, FALSE)), ""))</f>
        <v/>
      </c>
      <c r="K684" s="35"/>
      <c r="L684" s="35"/>
      <c r="M684" s="35"/>
      <c r="N684" s="35" t="str">
        <f t="shared" si="10"/>
        <v/>
      </c>
      <c r="O684" s="34"/>
      <c r="P684" s="34"/>
      <c r="Q684" s="34"/>
      <c r="R684" s="34"/>
      <c r="S684" s="34"/>
      <c r="T684" s="34"/>
      <c r="U684" s="34"/>
      <c r="V684" s="34"/>
    </row>
    <row r="685" spans="1:22">
      <c r="A685" s="35"/>
      <c r="B685" s="3"/>
      <c r="C685" s="35"/>
      <c r="D685" s="34"/>
      <c r="E685" s="34"/>
      <c r="F685" s="35"/>
      <c r="G685" s="35"/>
      <c r="H685" s="3"/>
      <c r="I685" s="35"/>
      <c r="J685" s="35" t="str">
        <f>IF(OR(TRIM(E685)="", TRIM(H685)=""), "", IFERROR(IF(OR(VLOOKUP(E685&amp;"|"&amp;H685&amp;"", DB!$A:$N, 6, FALSE)="", VLOOKUP(E685&amp;"|"&amp;H685&amp;"", DB!$A:$N, 6, FALSE)="-"), "", VLOOKUP(E685&amp;"|"&amp;H685&amp;"", DB!$A:$N, 6, FALSE)), ""))</f>
        <v/>
      </c>
      <c r="K685" s="35"/>
      <c r="L685" s="35"/>
      <c r="M685" s="35"/>
      <c r="N685" s="35" t="str">
        <f t="shared" si="10"/>
        <v/>
      </c>
      <c r="O685" s="34"/>
      <c r="P685" s="34"/>
      <c r="Q685" s="34"/>
      <c r="R685" s="34"/>
      <c r="S685" s="34"/>
      <c r="T685" s="34"/>
      <c r="U685" s="34"/>
      <c r="V685" s="34"/>
    </row>
    <row r="686" spans="1:22">
      <c r="A686" s="35"/>
      <c r="B686" s="3"/>
      <c r="C686" s="35"/>
      <c r="D686" s="34"/>
      <c r="E686" s="34"/>
      <c r="F686" s="35"/>
      <c r="G686" s="35"/>
      <c r="H686" s="3"/>
      <c r="I686" s="35"/>
      <c r="J686" s="35" t="str">
        <f>IF(OR(TRIM(E686)="", TRIM(H686)=""), "", IFERROR(IF(OR(VLOOKUP(E686&amp;"|"&amp;H686&amp;"", DB!$A:$N, 6, FALSE)="", VLOOKUP(E686&amp;"|"&amp;H686&amp;"", DB!$A:$N, 6, FALSE)="-"), "", VLOOKUP(E686&amp;"|"&amp;H686&amp;"", DB!$A:$N, 6, FALSE)), ""))</f>
        <v/>
      </c>
      <c r="K686" s="35"/>
      <c r="L686" s="35"/>
      <c r="M686" s="35"/>
      <c r="N686" s="35" t="str">
        <f t="shared" si="10"/>
        <v/>
      </c>
      <c r="O686" s="34"/>
      <c r="P686" s="34"/>
      <c r="Q686" s="34"/>
      <c r="R686" s="34"/>
      <c r="S686" s="34"/>
      <c r="T686" s="34"/>
      <c r="U686" s="34"/>
      <c r="V686" s="34"/>
    </row>
    <row r="687" spans="1:22">
      <c r="A687" s="35"/>
      <c r="B687" s="3"/>
      <c r="C687" s="35"/>
      <c r="D687" s="34"/>
      <c r="E687" s="34"/>
      <c r="F687" s="35"/>
      <c r="G687" s="35"/>
      <c r="H687" s="3"/>
      <c r="I687" s="35"/>
      <c r="J687" s="35" t="str">
        <f>IF(OR(TRIM(E687)="", TRIM(H687)=""), "", IFERROR(IF(OR(VLOOKUP(E687&amp;"|"&amp;H687&amp;"", DB!$A:$N, 6, FALSE)="", VLOOKUP(E687&amp;"|"&amp;H687&amp;"", DB!$A:$N, 6, FALSE)="-"), "", VLOOKUP(E687&amp;"|"&amp;H687&amp;"", DB!$A:$N, 6, FALSE)), ""))</f>
        <v/>
      </c>
      <c r="K687" s="35"/>
      <c r="L687" s="35"/>
      <c r="M687" s="35"/>
      <c r="N687" s="35" t="str">
        <f t="shared" si="10"/>
        <v/>
      </c>
      <c r="O687" s="34"/>
      <c r="P687" s="34"/>
      <c r="Q687" s="34"/>
      <c r="R687" s="34"/>
      <c r="S687" s="34"/>
      <c r="T687" s="34"/>
      <c r="U687" s="34"/>
      <c r="V687" s="34"/>
    </row>
    <row r="688" spans="1:22">
      <c r="A688" s="35"/>
      <c r="B688" s="3"/>
      <c r="C688" s="35"/>
      <c r="D688" s="34"/>
      <c r="E688" s="34"/>
      <c r="F688" s="35"/>
      <c r="G688" s="35"/>
      <c r="H688" s="3"/>
      <c r="I688" s="35"/>
      <c r="J688" s="35" t="str">
        <f>IF(OR(TRIM(E688)="", TRIM(H688)=""), "", IFERROR(IF(OR(VLOOKUP(E688&amp;"|"&amp;H688&amp;"", DB!$A:$N, 6, FALSE)="", VLOOKUP(E688&amp;"|"&amp;H688&amp;"", DB!$A:$N, 6, FALSE)="-"), "", VLOOKUP(E688&amp;"|"&amp;H688&amp;"", DB!$A:$N, 6, FALSE)), ""))</f>
        <v/>
      </c>
      <c r="K688" s="35"/>
      <c r="L688" s="35"/>
      <c r="M688" s="35"/>
      <c r="N688" s="35" t="str">
        <f t="shared" si="10"/>
        <v/>
      </c>
      <c r="O688" s="34"/>
      <c r="P688" s="34"/>
      <c r="Q688" s="34"/>
      <c r="R688" s="34"/>
      <c r="S688" s="34"/>
      <c r="T688" s="34"/>
      <c r="U688" s="34"/>
      <c r="V688" s="34"/>
    </row>
    <row r="689" spans="1:22">
      <c r="A689" s="35"/>
      <c r="B689" s="3"/>
      <c r="C689" s="35"/>
      <c r="D689" s="34"/>
      <c r="E689" s="34"/>
      <c r="F689" s="35"/>
      <c r="G689" s="35"/>
      <c r="H689" s="3"/>
      <c r="I689" s="35"/>
      <c r="J689" s="35" t="str">
        <f>IF(OR(TRIM(E689)="", TRIM(H689)=""), "", IFERROR(IF(OR(VLOOKUP(E689&amp;"|"&amp;H689&amp;"", DB!$A:$N, 6, FALSE)="", VLOOKUP(E689&amp;"|"&amp;H689&amp;"", DB!$A:$N, 6, FALSE)="-"), "", VLOOKUP(E689&amp;"|"&amp;H689&amp;"", DB!$A:$N, 6, FALSE)), ""))</f>
        <v/>
      </c>
      <c r="K689" s="35"/>
      <c r="L689" s="35"/>
      <c r="M689" s="35"/>
      <c r="N689" s="35" t="str">
        <f t="shared" si="10"/>
        <v/>
      </c>
      <c r="O689" s="34"/>
      <c r="P689" s="34"/>
      <c r="Q689" s="34"/>
      <c r="R689" s="34"/>
      <c r="S689" s="34"/>
      <c r="T689" s="34"/>
      <c r="U689" s="34"/>
      <c r="V689" s="34"/>
    </row>
    <row r="690" spans="1:22">
      <c r="A690" s="35"/>
      <c r="B690" s="3"/>
      <c r="C690" s="35"/>
      <c r="D690" s="34"/>
      <c r="E690" s="34"/>
      <c r="F690" s="35"/>
      <c r="G690" s="35"/>
      <c r="H690" s="3"/>
      <c r="I690" s="35"/>
      <c r="J690" s="35" t="str">
        <f>IF(OR(TRIM(E690)="", TRIM(H690)=""), "", IFERROR(IF(OR(VLOOKUP(E690&amp;"|"&amp;H690&amp;"", DB!$A:$N, 6, FALSE)="", VLOOKUP(E690&amp;"|"&amp;H690&amp;"", DB!$A:$N, 6, FALSE)="-"), "", VLOOKUP(E690&amp;"|"&amp;H690&amp;"", DB!$A:$N, 6, FALSE)), ""))</f>
        <v/>
      </c>
      <c r="K690" s="35"/>
      <c r="L690" s="35"/>
      <c r="M690" s="35"/>
      <c r="N690" s="35" t="str">
        <f t="shared" si="10"/>
        <v/>
      </c>
      <c r="O690" s="34"/>
      <c r="P690" s="34"/>
      <c r="Q690" s="34"/>
      <c r="R690" s="34"/>
      <c r="S690" s="34"/>
      <c r="T690" s="34"/>
      <c r="U690" s="34"/>
      <c r="V690" s="34"/>
    </row>
    <row r="691" spans="1:22">
      <c r="A691" s="35"/>
      <c r="B691" s="3"/>
      <c r="C691" s="35"/>
      <c r="D691" s="34"/>
      <c r="E691" s="34"/>
      <c r="F691" s="35"/>
      <c r="G691" s="35"/>
      <c r="H691" s="3"/>
      <c r="I691" s="35"/>
      <c r="J691" s="35" t="str">
        <f>IF(OR(TRIM(E691)="", TRIM(H691)=""), "", IFERROR(IF(OR(VLOOKUP(E691&amp;"|"&amp;H691&amp;"", DB!$A:$N, 6, FALSE)="", VLOOKUP(E691&amp;"|"&amp;H691&amp;"", DB!$A:$N, 6, FALSE)="-"), "", VLOOKUP(E691&amp;"|"&amp;H691&amp;"", DB!$A:$N, 6, FALSE)), ""))</f>
        <v/>
      </c>
      <c r="K691" s="35"/>
      <c r="L691" s="35"/>
      <c r="M691" s="35"/>
      <c r="N691" s="35" t="str">
        <f t="shared" si="10"/>
        <v/>
      </c>
      <c r="O691" s="34"/>
      <c r="P691" s="34"/>
      <c r="Q691" s="34"/>
      <c r="R691" s="34"/>
      <c r="S691" s="34"/>
      <c r="T691" s="34"/>
      <c r="U691" s="34"/>
      <c r="V691" s="34"/>
    </row>
    <row r="692" spans="1:22">
      <c r="A692" s="35"/>
      <c r="B692" s="3"/>
      <c r="C692" s="35"/>
      <c r="D692" s="34"/>
      <c r="E692" s="34"/>
      <c r="F692" s="35"/>
      <c r="G692" s="35"/>
      <c r="H692" s="3"/>
      <c r="I692" s="35"/>
      <c r="J692" s="35" t="str">
        <f>IF(OR(TRIM(E692)="", TRIM(H692)=""), "", IFERROR(IF(OR(VLOOKUP(E692&amp;"|"&amp;H692&amp;"", DB!$A:$N, 6, FALSE)="", VLOOKUP(E692&amp;"|"&amp;H692&amp;"", DB!$A:$N, 6, FALSE)="-"), "", VLOOKUP(E692&amp;"|"&amp;H692&amp;"", DB!$A:$N, 6, FALSE)), ""))</f>
        <v/>
      </c>
      <c r="K692" s="35"/>
      <c r="L692" s="35"/>
      <c r="M692" s="35"/>
      <c r="N692" s="35" t="str">
        <f t="shared" si="10"/>
        <v/>
      </c>
      <c r="O692" s="34"/>
      <c r="P692" s="34"/>
      <c r="Q692" s="34"/>
      <c r="R692" s="34"/>
      <c r="S692" s="34"/>
      <c r="T692" s="34"/>
      <c r="U692" s="34"/>
      <c r="V692" s="34"/>
    </row>
    <row r="693" spans="1:22">
      <c r="A693" s="35"/>
      <c r="B693" s="3"/>
      <c r="C693" s="35"/>
      <c r="D693" s="34"/>
      <c r="E693" s="34"/>
      <c r="F693" s="35"/>
      <c r="G693" s="35"/>
      <c r="H693" s="3"/>
      <c r="I693" s="35"/>
      <c r="J693" s="35" t="str">
        <f>IF(OR(TRIM(E693)="", TRIM(H693)=""), "", IFERROR(IF(OR(VLOOKUP(E693&amp;"|"&amp;H693&amp;"", DB!$A:$N, 6, FALSE)="", VLOOKUP(E693&amp;"|"&amp;H693&amp;"", DB!$A:$N, 6, FALSE)="-"), "", VLOOKUP(E693&amp;"|"&amp;H693&amp;"", DB!$A:$N, 6, FALSE)), ""))</f>
        <v/>
      </c>
      <c r="K693" s="35"/>
      <c r="L693" s="35"/>
      <c r="M693" s="35"/>
      <c r="N693" s="35" t="str">
        <f t="shared" si="10"/>
        <v/>
      </c>
      <c r="O693" s="34"/>
      <c r="P693" s="34"/>
      <c r="Q693" s="34"/>
      <c r="R693" s="34"/>
      <c r="S693" s="34"/>
      <c r="T693" s="34"/>
      <c r="U693" s="34"/>
      <c r="V693" s="34"/>
    </row>
    <row r="694" spans="1:22">
      <c r="A694" s="35"/>
      <c r="B694" s="3"/>
      <c r="C694" s="35"/>
      <c r="D694" s="34"/>
      <c r="E694" s="34"/>
      <c r="F694" s="35"/>
      <c r="G694" s="35"/>
      <c r="H694" s="3"/>
      <c r="I694" s="35"/>
      <c r="J694" s="35" t="str">
        <f>IF(OR(TRIM(E694)="", TRIM(H694)=""), "", IFERROR(IF(OR(VLOOKUP(E694&amp;"|"&amp;H694&amp;"", DB!$A:$N, 6, FALSE)="", VLOOKUP(E694&amp;"|"&amp;H694&amp;"", DB!$A:$N, 6, FALSE)="-"), "", VLOOKUP(E694&amp;"|"&amp;H694&amp;"", DB!$A:$N, 6, FALSE)), ""))</f>
        <v/>
      </c>
      <c r="K694" s="35"/>
      <c r="L694" s="35"/>
      <c r="M694" s="35"/>
      <c r="N694" s="35" t="str">
        <f t="shared" si="10"/>
        <v/>
      </c>
      <c r="O694" s="34"/>
      <c r="P694" s="34"/>
      <c r="Q694" s="34"/>
      <c r="R694" s="34"/>
      <c r="S694" s="34"/>
      <c r="T694" s="34"/>
      <c r="U694" s="34"/>
      <c r="V694" s="34"/>
    </row>
    <row r="695" spans="1:22">
      <c r="A695" s="35"/>
      <c r="B695" s="3"/>
      <c r="C695" s="35"/>
      <c r="D695" s="34"/>
      <c r="E695" s="34"/>
      <c r="F695" s="35"/>
      <c r="G695" s="35"/>
      <c r="H695" s="3"/>
      <c r="I695" s="35"/>
      <c r="J695" s="35" t="str">
        <f>IF(OR(TRIM(E695)="", TRIM(H695)=""), "", IFERROR(IF(OR(VLOOKUP(E695&amp;"|"&amp;H695&amp;"", DB!$A:$N, 6, FALSE)="", VLOOKUP(E695&amp;"|"&amp;H695&amp;"", DB!$A:$N, 6, FALSE)="-"), "", VLOOKUP(E695&amp;"|"&amp;H695&amp;"", DB!$A:$N, 6, FALSE)), ""))</f>
        <v/>
      </c>
      <c r="K695" s="35"/>
      <c r="L695" s="35"/>
      <c r="M695" s="35"/>
      <c r="N695" s="35" t="str">
        <f t="shared" si="10"/>
        <v/>
      </c>
      <c r="O695" s="34"/>
      <c r="P695" s="34"/>
      <c r="Q695" s="34"/>
      <c r="R695" s="34"/>
      <c r="S695" s="34"/>
      <c r="T695" s="34"/>
      <c r="U695" s="34"/>
      <c r="V695" s="34"/>
    </row>
    <row r="696" spans="1:22">
      <c r="A696" s="35"/>
      <c r="B696" s="3"/>
      <c r="C696" s="35"/>
      <c r="D696" s="34"/>
      <c r="E696" s="34"/>
      <c r="F696" s="35"/>
      <c r="G696" s="35"/>
      <c r="H696" s="3"/>
      <c r="I696" s="35"/>
      <c r="J696" s="35" t="str">
        <f>IF(OR(TRIM(E696)="", TRIM(H696)=""), "", IFERROR(IF(OR(VLOOKUP(E696&amp;"|"&amp;H696&amp;"", DB!$A:$N, 6, FALSE)="", VLOOKUP(E696&amp;"|"&amp;H696&amp;"", DB!$A:$N, 6, FALSE)="-"), "", VLOOKUP(E696&amp;"|"&amp;H696&amp;"", DB!$A:$N, 6, FALSE)), ""))</f>
        <v/>
      </c>
      <c r="K696" s="35"/>
      <c r="L696" s="35"/>
      <c r="M696" s="35"/>
      <c r="N696" s="35" t="str">
        <f t="shared" si="10"/>
        <v/>
      </c>
      <c r="O696" s="34"/>
      <c r="P696" s="34"/>
      <c r="Q696" s="34"/>
      <c r="R696" s="34"/>
      <c r="S696" s="34"/>
      <c r="T696" s="34"/>
      <c r="U696" s="34"/>
      <c r="V696" s="34"/>
    </row>
    <row r="697" spans="1:22">
      <c r="A697" s="35"/>
      <c r="B697" s="3"/>
      <c r="C697" s="35"/>
      <c r="D697" s="34"/>
      <c r="E697" s="34"/>
      <c r="F697" s="35"/>
      <c r="G697" s="35"/>
      <c r="H697" s="3"/>
      <c r="I697" s="35"/>
      <c r="J697" s="35" t="str">
        <f>IF(OR(TRIM(E697)="", TRIM(H697)=""), "", IFERROR(IF(OR(VLOOKUP(E697&amp;"|"&amp;H697&amp;"", DB!$A:$N, 6, FALSE)="", VLOOKUP(E697&amp;"|"&amp;H697&amp;"", DB!$A:$N, 6, FALSE)="-"), "", VLOOKUP(E697&amp;"|"&amp;H697&amp;"", DB!$A:$N, 6, FALSE)), ""))</f>
        <v/>
      </c>
      <c r="K697" s="35"/>
      <c r="L697" s="35"/>
      <c r="M697" s="35"/>
      <c r="N697" s="35" t="str">
        <f t="shared" si="10"/>
        <v/>
      </c>
      <c r="O697" s="34"/>
      <c r="P697" s="34"/>
      <c r="Q697" s="34"/>
      <c r="R697" s="34"/>
      <c r="S697" s="34"/>
      <c r="T697" s="34"/>
      <c r="U697" s="34"/>
      <c r="V697" s="34"/>
    </row>
    <row r="698" spans="1:22">
      <c r="A698" s="35"/>
      <c r="B698" s="3"/>
      <c r="C698" s="35"/>
      <c r="D698" s="34"/>
      <c r="E698" s="34"/>
      <c r="F698" s="35"/>
      <c r="G698" s="35"/>
      <c r="H698" s="3"/>
      <c r="I698" s="35"/>
      <c r="J698" s="35" t="str">
        <f>IF(OR(TRIM(E698)="", TRIM(H698)=""), "", IFERROR(IF(OR(VLOOKUP(E698&amp;"|"&amp;H698&amp;"", DB!$A:$N, 6, FALSE)="", VLOOKUP(E698&amp;"|"&amp;H698&amp;"", DB!$A:$N, 6, FALSE)="-"), "", VLOOKUP(E698&amp;"|"&amp;H698&amp;"", DB!$A:$N, 6, FALSE)), ""))</f>
        <v/>
      </c>
      <c r="K698" s="35"/>
      <c r="L698" s="35"/>
      <c r="M698" s="35"/>
      <c r="N698" s="35" t="str">
        <f t="shared" si="10"/>
        <v/>
      </c>
      <c r="O698" s="34"/>
      <c r="P698" s="34"/>
      <c r="Q698" s="34"/>
      <c r="R698" s="34"/>
      <c r="S698" s="34"/>
      <c r="T698" s="34"/>
      <c r="U698" s="34"/>
      <c r="V698" s="34"/>
    </row>
    <row r="699" spans="1:22">
      <c r="A699" s="35"/>
      <c r="B699" s="3"/>
      <c r="C699" s="35"/>
      <c r="D699" s="34"/>
      <c r="E699" s="34"/>
      <c r="F699" s="35"/>
      <c r="G699" s="35"/>
      <c r="H699" s="3"/>
      <c r="I699" s="35"/>
      <c r="J699" s="35" t="str">
        <f>IF(OR(TRIM(E699)="", TRIM(H699)=""), "", IFERROR(IF(OR(VLOOKUP(E699&amp;"|"&amp;H699&amp;"", DB!$A:$N, 6, FALSE)="", VLOOKUP(E699&amp;"|"&amp;H699&amp;"", DB!$A:$N, 6, FALSE)="-"), "", VLOOKUP(E699&amp;"|"&amp;H699&amp;"", DB!$A:$N, 6, FALSE)), ""))</f>
        <v/>
      </c>
      <c r="K699" s="35"/>
      <c r="L699" s="35"/>
      <c r="M699" s="35"/>
      <c r="N699" s="35" t="str">
        <f t="shared" si="10"/>
        <v/>
      </c>
      <c r="O699" s="34"/>
      <c r="P699" s="34"/>
      <c r="Q699" s="34"/>
      <c r="R699" s="34"/>
      <c r="S699" s="34"/>
      <c r="T699" s="34"/>
      <c r="U699" s="34"/>
      <c r="V699" s="34"/>
    </row>
    <row r="700" spans="1:22">
      <c r="A700" s="35"/>
      <c r="B700" s="3"/>
      <c r="C700" s="35"/>
      <c r="D700" s="34"/>
      <c r="E700" s="34"/>
      <c r="F700" s="35"/>
      <c r="G700" s="35"/>
      <c r="H700" s="3"/>
      <c r="I700" s="35"/>
      <c r="J700" s="35" t="str">
        <f>IF(OR(TRIM(E700)="", TRIM(H700)=""), "", IFERROR(IF(OR(VLOOKUP(E700&amp;"|"&amp;H700&amp;"", DB!$A:$N, 6, FALSE)="", VLOOKUP(E700&amp;"|"&amp;H700&amp;"", DB!$A:$N, 6, FALSE)="-"), "", VLOOKUP(E700&amp;"|"&amp;H700&amp;"", DB!$A:$N, 6, FALSE)), ""))</f>
        <v/>
      </c>
      <c r="K700" s="35"/>
      <c r="L700" s="35"/>
      <c r="M700" s="35"/>
      <c r="N700" s="35" t="str">
        <f t="shared" si="10"/>
        <v/>
      </c>
      <c r="O700" s="34"/>
      <c r="P700" s="34"/>
      <c r="Q700" s="34"/>
      <c r="R700" s="34"/>
      <c r="S700" s="34"/>
      <c r="T700" s="34"/>
      <c r="U700" s="34"/>
      <c r="V700" s="34"/>
    </row>
    <row r="701" spans="1:22">
      <c r="A701" s="35"/>
      <c r="B701" s="3"/>
      <c r="C701" s="35"/>
      <c r="D701" s="34"/>
      <c r="E701" s="34"/>
      <c r="F701" s="35"/>
      <c r="G701" s="35"/>
      <c r="H701" s="3"/>
      <c r="I701" s="35"/>
      <c r="J701" s="35" t="str">
        <f>IF(OR(TRIM(E701)="", TRIM(H701)=""), "", IFERROR(IF(OR(VLOOKUP(E701&amp;"|"&amp;H701&amp;"", DB!$A:$N, 6, FALSE)="", VLOOKUP(E701&amp;"|"&amp;H701&amp;"", DB!$A:$N, 6, FALSE)="-"), "", VLOOKUP(E701&amp;"|"&amp;H701&amp;"", DB!$A:$N, 6, FALSE)), ""))</f>
        <v/>
      </c>
      <c r="K701" s="35"/>
      <c r="L701" s="35"/>
      <c r="M701" s="35"/>
      <c r="N701" s="35" t="str">
        <f t="shared" si="10"/>
        <v/>
      </c>
      <c r="O701" s="34"/>
      <c r="P701" s="34"/>
      <c r="Q701" s="34"/>
      <c r="R701" s="34"/>
      <c r="S701" s="34"/>
      <c r="T701" s="34"/>
      <c r="U701" s="34"/>
      <c r="V701" s="34"/>
    </row>
    <row r="702" spans="1:22">
      <c r="A702" s="35"/>
      <c r="B702" s="3"/>
      <c r="C702" s="35"/>
      <c r="D702" s="34"/>
      <c r="E702" s="34"/>
      <c r="F702" s="35"/>
      <c r="G702" s="35"/>
      <c r="H702" s="3"/>
      <c r="I702" s="35"/>
      <c r="J702" s="35" t="str">
        <f>IF(OR(TRIM(E702)="", TRIM(H702)=""), "", IFERROR(IF(OR(VLOOKUP(E702&amp;"|"&amp;H702&amp;"", DB!$A:$N, 6, FALSE)="", VLOOKUP(E702&amp;"|"&amp;H702&amp;"", DB!$A:$N, 6, FALSE)="-"), "", VLOOKUP(E702&amp;"|"&amp;H702&amp;"", DB!$A:$N, 6, FALSE)), ""))</f>
        <v/>
      </c>
      <c r="K702" s="35"/>
      <c r="L702" s="35"/>
      <c r="M702" s="35"/>
      <c r="N702" s="35" t="str">
        <f t="shared" si="10"/>
        <v/>
      </c>
      <c r="O702" s="34"/>
      <c r="P702" s="34"/>
      <c r="Q702" s="34"/>
      <c r="R702" s="34"/>
      <c r="S702" s="34"/>
      <c r="T702" s="34"/>
      <c r="U702" s="34"/>
      <c r="V702" s="34"/>
    </row>
    <row r="703" spans="1:22">
      <c r="A703" s="35"/>
      <c r="B703" s="3"/>
      <c r="C703" s="35"/>
      <c r="D703" s="34"/>
      <c r="E703" s="34"/>
      <c r="F703" s="35"/>
      <c r="G703" s="35"/>
      <c r="H703" s="3"/>
      <c r="I703" s="35"/>
      <c r="J703" s="35" t="str">
        <f>IF(OR(TRIM(E703)="", TRIM(H703)=""), "", IFERROR(IF(OR(VLOOKUP(E703&amp;"|"&amp;H703&amp;"", DB!$A:$N, 6, FALSE)="", VLOOKUP(E703&amp;"|"&amp;H703&amp;"", DB!$A:$N, 6, FALSE)="-"), "", VLOOKUP(E703&amp;"|"&amp;H703&amp;"", DB!$A:$N, 6, FALSE)), ""))</f>
        <v/>
      </c>
      <c r="K703" s="35"/>
      <c r="L703" s="35"/>
      <c r="M703" s="35"/>
      <c r="N703" s="35" t="str">
        <f t="shared" si="10"/>
        <v/>
      </c>
      <c r="O703" s="34"/>
      <c r="P703" s="34"/>
      <c r="Q703" s="34"/>
      <c r="R703" s="34"/>
      <c r="S703" s="34"/>
      <c r="T703" s="34"/>
      <c r="U703" s="34"/>
      <c r="V703" s="34"/>
    </row>
    <row r="704" spans="1:22">
      <c r="A704" s="35"/>
      <c r="B704" s="3"/>
      <c r="C704" s="35"/>
      <c r="D704" s="34"/>
      <c r="E704" s="34"/>
      <c r="F704" s="35"/>
      <c r="G704" s="35"/>
      <c r="H704" s="3"/>
      <c r="I704" s="35"/>
      <c r="J704" s="35" t="str">
        <f>IF(OR(TRIM(E704)="", TRIM(H704)=""), "", IFERROR(IF(OR(VLOOKUP(E704&amp;"|"&amp;H704&amp;"", DB!$A:$N, 6, FALSE)="", VLOOKUP(E704&amp;"|"&amp;H704&amp;"", DB!$A:$N, 6, FALSE)="-"), "", VLOOKUP(E704&amp;"|"&amp;H704&amp;"", DB!$A:$N, 6, FALSE)), ""))</f>
        <v/>
      </c>
      <c r="K704" s="35"/>
      <c r="L704" s="35"/>
      <c r="M704" s="35"/>
      <c r="N704" s="35" t="str">
        <f t="shared" si="10"/>
        <v/>
      </c>
      <c r="O704" s="34"/>
      <c r="P704" s="34"/>
      <c r="Q704" s="34"/>
      <c r="R704" s="34"/>
      <c r="S704" s="34"/>
      <c r="T704" s="34"/>
      <c r="U704" s="34"/>
      <c r="V704" s="34"/>
    </row>
    <row r="705" spans="1:22">
      <c r="A705" s="35"/>
      <c r="B705" s="3"/>
      <c r="C705" s="35"/>
      <c r="D705" s="34"/>
      <c r="E705" s="34"/>
      <c r="F705" s="35"/>
      <c r="G705" s="35"/>
      <c r="H705" s="3"/>
      <c r="I705" s="35"/>
      <c r="J705" s="35" t="str">
        <f>IF(OR(TRIM(E705)="", TRIM(H705)=""), "", IFERROR(IF(OR(VLOOKUP(E705&amp;"|"&amp;H705&amp;"", DB!$A:$N, 6, FALSE)="", VLOOKUP(E705&amp;"|"&amp;H705&amp;"", DB!$A:$N, 6, FALSE)="-"), "", VLOOKUP(E705&amp;"|"&amp;H705&amp;"", DB!$A:$N, 6, FALSE)), ""))</f>
        <v/>
      </c>
      <c r="K705" s="35"/>
      <c r="L705" s="35"/>
      <c r="M705" s="35"/>
      <c r="N705" s="35" t="str">
        <f t="shared" si="10"/>
        <v/>
      </c>
      <c r="O705" s="34"/>
      <c r="P705" s="34"/>
      <c r="Q705" s="34"/>
      <c r="R705" s="34"/>
      <c r="S705" s="34"/>
      <c r="T705" s="34"/>
      <c r="U705" s="34"/>
      <c r="V705" s="34"/>
    </row>
    <row r="706" spans="1:22">
      <c r="A706" s="35"/>
      <c r="B706" s="3"/>
      <c r="C706" s="35"/>
      <c r="D706" s="34"/>
      <c r="E706" s="34"/>
      <c r="F706" s="35"/>
      <c r="G706" s="35"/>
      <c r="H706" s="3"/>
      <c r="I706" s="35"/>
      <c r="J706" s="35" t="str">
        <f>IF(OR(TRIM(E706)="", TRIM(H706)=""), "", IFERROR(IF(OR(VLOOKUP(E706&amp;"|"&amp;H706&amp;"", DB!$A:$N, 6, FALSE)="", VLOOKUP(E706&amp;"|"&amp;H706&amp;"", DB!$A:$N, 6, FALSE)="-"), "", VLOOKUP(E706&amp;"|"&amp;H706&amp;"", DB!$A:$N, 6, FALSE)), ""))</f>
        <v/>
      </c>
      <c r="K706" s="35"/>
      <c r="L706" s="35"/>
      <c r="M706" s="35"/>
      <c r="N706" s="35" t="str">
        <f t="shared" ref="N706:N769" si="11">IF(TRIM(D706)="", "", IF(N(L706)-N(M706)&lt;=0, "X", N(L706)-N(M706)))</f>
        <v/>
      </c>
      <c r="O706" s="34"/>
      <c r="P706" s="34"/>
      <c r="Q706" s="34"/>
      <c r="R706" s="34"/>
      <c r="S706" s="34"/>
      <c r="T706" s="34"/>
      <c r="U706" s="34"/>
      <c r="V706" s="34"/>
    </row>
    <row r="707" spans="1:22">
      <c r="A707" s="35"/>
      <c r="B707" s="3"/>
      <c r="C707" s="35"/>
      <c r="D707" s="34"/>
      <c r="E707" s="34"/>
      <c r="F707" s="35"/>
      <c r="G707" s="35"/>
      <c r="H707" s="3"/>
      <c r="I707" s="35"/>
      <c r="J707" s="35" t="str">
        <f>IF(OR(TRIM(E707)="", TRIM(H707)=""), "", IFERROR(IF(OR(VLOOKUP(E707&amp;"|"&amp;H707&amp;"", DB!$A:$N, 6, FALSE)="", VLOOKUP(E707&amp;"|"&amp;H707&amp;"", DB!$A:$N, 6, FALSE)="-"), "", VLOOKUP(E707&amp;"|"&amp;H707&amp;"", DB!$A:$N, 6, FALSE)), ""))</f>
        <v/>
      </c>
      <c r="K707" s="35"/>
      <c r="L707" s="35"/>
      <c r="M707" s="35"/>
      <c r="N707" s="35" t="str">
        <f t="shared" si="11"/>
        <v/>
      </c>
      <c r="O707" s="34"/>
      <c r="P707" s="34"/>
      <c r="Q707" s="34"/>
      <c r="R707" s="34"/>
      <c r="S707" s="34"/>
      <c r="T707" s="34"/>
      <c r="U707" s="34"/>
      <c r="V707" s="34"/>
    </row>
    <row r="708" spans="1:22">
      <c r="A708" s="35"/>
      <c r="B708" s="3"/>
      <c r="C708" s="35"/>
      <c r="D708" s="34"/>
      <c r="E708" s="34"/>
      <c r="F708" s="35"/>
      <c r="G708" s="35"/>
      <c r="H708" s="3"/>
      <c r="I708" s="35"/>
      <c r="J708" s="35" t="str">
        <f>IF(OR(TRIM(E708)="", TRIM(H708)=""), "", IFERROR(IF(OR(VLOOKUP(E708&amp;"|"&amp;H708&amp;"", DB!$A:$N, 6, FALSE)="", VLOOKUP(E708&amp;"|"&amp;H708&amp;"", DB!$A:$N, 6, FALSE)="-"), "", VLOOKUP(E708&amp;"|"&amp;H708&amp;"", DB!$A:$N, 6, FALSE)), ""))</f>
        <v/>
      </c>
      <c r="K708" s="35"/>
      <c r="L708" s="35"/>
      <c r="M708" s="35"/>
      <c r="N708" s="35" t="str">
        <f t="shared" si="11"/>
        <v/>
      </c>
      <c r="O708" s="34"/>
      <c r="P708" s="34"/>
      <c r="Q708" s="34"/>
      <c r="R708" s="34"/>
      <c r="S708" s="34"/>
      <c r="T708" s="34"/>
      <c r="U708" s="34"/>
      <c r="V708" s="34"/>
    </row>
    <row r="709" spans="1:22">
      <c r="A709" s="35"/>
      <c r="B709" s="3"/>
      <c r="C709" s="35"/>
      <c r="D709" s="34"/>
      <c r="E709" s="34"/>
      <c r="F709" s="35"/>
      <c r="G709" s="35"/>
      <c r="H709" s="3"/>
      <c r="I709" s="35"/>
      <c r="J709" s="35" t="str">
        <f>IF(OR(TRIM(E709)="", TRIM(H709)=""), "", IFERROR(IF(OR(VLOOKUP(E709&amp;"|"&amp;H709&amp;"", DB!$A:$N, 6, FALSE)="", VLOOKUP(E709&amp;"|"&amp;H709&amp;"", DB!$A:$N, 6, FALSE)="-"), "", VLOOKUP(E709&amp;"|"&amp;H709&amp;"", DB!$A:$N, 6, FALSE)), ""))</f>
        <v/>
      </c>
      <c r="K709" s="35"/>
      <c r="L709" s="35"/>
      <c r="M709" s="35"/>
      <c r="N709" s="35" t="str">
        <f t="shared" si="11"/>
        <v/>
      </c>
      <c r="O709" s="34"/>
      <c r="P709" s="34"/>
      <c r="Q709" s="34"/>
      <c r="R709" s="34"/>
      <c r="S709" s="34"/>
      <c r="T709" s="34"/>
      <c r="U709" s="34"/>
      <c r="V709" s="34"/>
    </row>
    <row r="710" spans="1:22">
      <c r="A710" s="35"/>
      <c r="B710" s="3"/>
      <c r="C710" s="35"/>
      <c r="D710" s="34"/>
      <c r="E710" s="34"/>
      <c r="F710" s="35"/>
      <c r="G710" s="35"/>
      <c r="H710" s="3"/>
      <c r="I710" s="35"/>
      <c r="J710" s="35" t="str">
        <f>IF(OR(TRIM(E710)="", TRIM(H710)=""), "", IFERROR(IF(OR(VLOOKUP(E710&amp;"|"&amp;H710&amp;"", DB!$A:$N, 6, FALSE)="", VLOOKUP(E710&amp;"|"&amp;H710&amp;"", DB!$A:$N, 6, FALSE)="-"), "", VLOOKUP(E710&amp;"|"&amp;H710&amp;"", DB!$A:$N, 6, FALSE)), ""))</f>
        <v/>
      </c>
      <c r="K710" s="35"/>
      <c r="L710" s="35"/>
      <c r="M710" s="35"/>
      <c r="N710" s="35" t="str">
        <f t="shared" si="11"/>
        <v/>
      </c>
      <c r="O710" s="34"/>
      <c r="P710" s="34"/>
      <c r="Q710" s="34"/>
      <c r="R710" s="34"/>
      <c r="S710" s="34"/>
      <c r="T710" s="34"/>
      <c r="U710" s="34"/>
      <c r="V710" s="34"/>
    </row>
    <row r="711" spans="1:22">
      <c r="A711" s="35"/>
      <c r="B711" s="3"/>
      <c r="C711" s="35"/>
      <c r="D711" s="34"/>
      <c r="E711" s="34"/>
      <c r="F711" s="35"/>
      <c r="G711" s="35"/>
      <c r="H711" s="3"/>
      <c r="I711" s="35"/>
      <c r="J711" s="35" t="str">
        <f>IF(OR(TRIM(E711)="", TRIM(H711)=""), "", IFERROR(IF(OR(VLOOKUP(E711&amp;"|"&amp;H711&amp;"", DB!$A:$N, 6, FALSE)="", VLOOKUP(E711&amp;"|"&amp;H711&amp;"", DB!$A:$N, 6, FALSE)="-"), "", VLOOKUP(E711&amp;"|"&amp;H711&amp;"", DB!$A:$N, 6, FALSE)), ""))</f>
        <v/>
      </c>
      <c r="K711" s="35"/>
      <c r="L711" s="35"/>
      <c r="M711" s="35"/>
      <c r="N711" s="35" t="str">
        <f t="shared" si="11"/>
        <v/>
      </c>
      <c r="O711" s="34"/>
      <c r="P711" s="34"/>
      <c r="Q711" s="34"/>
      <c r="R711" s="34"/>
      <c r="S711" s="34"/>
      <c r="T711" s="34"/>
      <c r="U711" s="34"/>
      <c r="V711" s="34"/>
    </row>
    <row r="712" spans="1:22">
      <c r="A712" s="35"/>
      <c r="B712" s="3"/>
      <c r="C712" s="35"/>
      <c r="D712" s="34"/>
      <c r="E712" s="34"/>
      <c r="F712" s="35"/>
      <c r="G712" s="35"/>
      <c r="H712" s="3"/>
      <c r="I712" s="35"/>
      <c r="J712" s="35" t="str">
        <f>IF(OR(TRIM(E712)="", TRIM(H712)=""), "", IFERROR(IF(OR(VLOOKUP(E712&amp;"|"&amp;H712&amp;"", DB!$A:$N, 6, FALSE)="", VLOOKUP(E712&amp;"|"&amp;H712&amp;"", DB!$A:$N, 6, FALSE)="-"), "", VLOOKUP(E712&amp;"|"&amp;H712&amp;"", DB!$A:$N, 6, FALSE)), ""))</f>
        <v/>
      </c>
      <c r="K712" s="35"/>
      <c r="L712" s="35"/>
      <c r="M712" s="35"/>
      <c r="N712" s="35" t="str">
        <f t="shared" si="11"/>
        <v/>
      </c>
      <c r="O712" s="34"/>
      <c r="P712" s="34"/>
      <c r="Q712" s="34"/>
      <c r="R712" s="34"/>
      <c r="S712" s="34"/>
      <c r="T712" s="34"/>
      <c r="U712" s="34"/>
      <c r="V712" s="34"/>
    </row>
    <row r="713" spans="1:22">
      <c r="A713" s="35"/>
      <c r="B713" s="3"/>
      <c r="C713" s="35"/>
      <c r="D713" s="34"/>
      <c r="E713" s="34"/>
      <c r="F713" s="35"/>
      <c r="G713" s="35"/>
      <c r="H713" s="3"/>
      <c r="I713" s="35"/>
      <c r="J713" s="35" t="str">
        <f>IF(OR(TRIM(E713)="", TRIM(H713)=""), "", IFERROR(IF(OR(VLOOKUP(E713&amp;"|"&amp;H713&amp;"", DB!$A:$N, 6, FALSE)="", VLOOKUP(E713&amp;"|"&amp;H713&amp;"", DB!$A:$N, 6, FALSE)="-"), "", VLOOKUP(E713&amp;"|"&amp;H713&amp;"", DB!$A:$N, 6, FALSE)), ""))</f>
        <v/>
      </c>
      <c r="K713" s="35"/>
      <c r="L713" s="35"/>
      <c r="M713" s="35"/>
      <c r="N713" s="35" t="str">
        <f t="shared" si="11"/>
        <v/>
      </c>
      <c r="O713" s="34"/>
      <c r="P713" s="34"/>
      <c r="Q713" s="34"/>
      <c r="R713" s="34"/>
      <c r="S713" s="34"/>
      <c r="T713" s="34"/>
      <c r="U713" s="34"/>
      <c r="V713" s="34"/>
    </row>
    <row r="714" spans="1:22">
      <c r="A714" s="35"/>
      <c r="B714" s="3"/>
      <c r="C714" s="35"/>
      <c r="D714" s="34"/>
      <c r="E714" s="34"/>
      <c r="F714" s="35"/>
      <c r="G714" s="35"/>
      <c r="H714" s="3"/>
      <c r="I714" s="35"/>
      <c r="J714" s="35" t="str">
        <f>IF(OR(TRIM(E714)="", TRIM(H714)=""), "", IFERROR(IF(OR(VLOOKUP(E714&amp;"|"&amp;H714&amp;"", DB!$A:$N, 6, FALSE)="", VLOOKUP(E714&amp;"|"&amp;H714&amp;"", DB!$A:$N, 6, FALSE)="-"), "", VLOOKUP(E714&amp;"|"&amp;H714&amp;"", DB!$A:$N, 6, FALSE)), ""))</f>
        <v/>
      </c>
      <c r="K714" s="35"/>
      <c r="L714" s="35"/>
      <c r="M714" s="35"/>
      <c r="N714" s="35" t="str">
        <f t="shared" si="11"/>
        <v/>
      </c>
      <c r="O714" s="34"/>
      <c r="P714" s="34"/>
      <c r="Q714" s="34"/>
      <c r="R714" s="34"/>
      <c r="S714" s="34"/>
      <c r="T714" s="34"/>
      <c r="U714" s="34"/>
      <c r="V714" s="34"/>
    </row>
    <row r="715" spans="1:22">
      <c r="A715" s="35"/>
      <c r="B715" s="3"/>
      <c r="C715" s="35"/>
      <c r="D715" s="34"/>
      <c r="E715" s="34"/>
      <c r="F715" s="35"/>
      <c r="G715" s="35"/>
      <c r="H715" s="3"/>
      <c r="I715" s="35"/>
      <c r="J715" s="35" t="str">
        <f>IF(OR(TRIM(E715)="", TRIM(H715)=""), "", IFERROR(IF(OR(VLOOKUP(E715&amp;"|"&amp;H715&amp;"", DB!$A:$N, 6, FALSE)="", VLOOKUP(E715&amp;"|"&amp;H715&amp;"", DB!$A:$N, 6, FALSE)="-"), "", VLOOKUP(E715&amp;"|"&amp;H715&amp;"", DB!$A:$N, 6, FALSE)), ""))</f>
        <v/>
      </c>
      <c r="K715" s="35"/>
      <c r="L715" s="35"/>
      <c r="M715" s="35"/>
      <c r="N715" s="35" t="str">
        <f t="shared" si="11"/>
        <v/>
      </c>
      <c r="O715" s="34"/>
      <c r="P715" s="34"/>
      <c r="Q715" s="34"/>
      <c r="R715" s="34"/>
      <c r="S715" s="34"/>
      <c r="T715" s="34"/>
      <c r="U715" s="34"/>
      <c r="V715" s="34"/>
    </row>
    <row r="716" spans="1:22">
      <c r="A716" s="35"/>
      <c r="B716" s="3"/>
      <c r="C716" s="35"/>
      <c r="D716" s="34"/>
      <c r="E716" s="34"/>
      <c r="F716" s="35"/>
      <c r="G716" s="35"/>
      <c r="H716" s="3"/>
      <c r="I716" s="35"/>
      <c r="J716" s="35" t="str">
        <f>IF(OR(TRIM(E716)="", TRIM(H716)=""), "", IFERROR(IF(OR(VLOOKUP(E716&amp;"|"&amp;H716&amp;"", DB!$A:$N, 6, FALSE)="", VLOOKUP(E716&amp;"|"&amp;H716&amp;"", DB!$A:$N, 6, FALSE)="-"), "", VLOOKUP(E716&amp;"|"&amp;H716&amp;"", DB!$A:$N, 6, FALSE)), ""))</f>
        <v/>
      </c>
      <c r="K716" s="35"/>
      <c r="L716" s="35"/>
      <c r="M716" s="35"/>
      <c r="N716" s="35" t="str">
        <f t="shared" si="11"/>
        <v/>
      </c>
      <c r="O716" s="34"/>
      <c r="P716" s="34"/>
      <c r="Q716" s="34"/>
      <c r="R716" s="34"/>
      <c r="S716" s="34"/>
      <c r="T716" s="34"/>
      <c r="U716" s="34"/>
      <c r="V716" s="34"/>
    </row>
    <row r="717" spans="1:22">
      <c r="A717" s="35"/>
      <c r="B717" s="3"/>
      <c r="C717" s="35"/>
      <c r="D717" s="34"/>
      <c r="E717" s="34"/>
      <c r="F717" s="35"/>
      <c r="G717" s="35"/>
      <c r="H717" s="3"/>
      <c r="I717" s="35"/>
      <c r="J717" s="35" t="str">
        <f>IF(OR(TRIM(E717)="", TRIM(H717)=""), "", IFERROR(IF(OR(VLOOKUP(E717&amp;"|"&amp;H717&amp;"", DB!$A:$N, 6, FALSE)="", VLOOKUP(E717&amp;"|"&amp;H717&amp;"", DB!$A:$N, 6, FALSE)="-"), "", VLOOKUP(E717&amp;"|"&amp;H717&amp;"", DB!$A:$N, 6, FALSE)), ""))</f>
        <v/>
      </c>
      <c r="K717" s="35"/>
      <c r="L717" s="35"/>
      <c r="M717" s="35"/>
      <c r="N717" s="35" t="str">
        <f t="shared" si="11"/>
        <v/>
      </c>
      <c r="O717" s="34"/>
      <c r="P717" s="34"/>
      <c r="Q717" s="34"/>
      <c r="R717" s="34"/>
      <c r="S717" s="34"/>
      <c r="T717" s="34"/>
      <c r="U717" s="34"/>
      <c r="V717" s="34"/>
    </row>
    <row r="718" spans="1:22">
      <c r="A718" s="35"/>
      <c r="B718" s="3"/>
      <c r="C718" s="35"/>
      <c r="D718" s="34"/>
      <c r="E718" s="34"/>
      <c r="F718" s="35"/>
      <c r="G718" s="35"/>
      <c r="H718" s="3"/>
      <c r="I718" s="35"/>
      <c r="J718" s="35" t="str">
        <f>IF(OR(TRIM(E718)="", TRIM(H718)=""), "", IFERROR(IF(OR(VLOOKUP(E718&amp;"|"&amp;H718&amp;"", DB!$A:$N, 6, FALSE)="", VLOOKUP(E718&amp;"|"&amp;H718&amp;"", DB!$A:$N, 6, FALSE)="-"), "", VLOOKUP(E718&amp;"|"&amp;H718&amp;"", DB!$A:$N, 6, FALSE)), ""))</f>
        <v/>
      </c>
      <c r="K718" s="35"/>
      <c r="L718" s="35"/>
      <c r="M718" s="35"/>
      <c r="N718" s="35" t="str">
        <f t="shared" si="11"/>
        <v/>
      </c>
      <c r="O718" s="34"/>
      <c r="P718" s="34"/>
      <c r="Q718" s="34"/>
      <c r="R718" s="34"/>
      <c r="S718" s="34"/>
      <c r="T718" s="34"/>
      <c r="U718" s="34"/>
      <c r="V718" s="34"/>
    </row>
    <row r="719" spans="1:22">
      <c r="A719" s="35"/>
      <c r="B719" s="3"/>
      <c r="C719" s="35"/>
      <c r="D719" s="34"/>
      <c r="E719" s="34"/>
      <c r="F719" s="35"/>
      <c r="G719" s="35"/>
      <c r="H719" s="3"/>
      <c r="I719" s="35"/>
      <c r="J719" s="35" t="str">
        <f>IF(OR(TRIM(E719)="", TRIM(H719)=""), "", IFERROR(IF(OR(VLOOKUP(E719&amp;"|"&amp;H719&amp;"", DB!$A:$N, 6, FALSE)="", VLOOKUP(E719&amp;"|"&amp;H719&amp;"", DB!$A:$N, 6, FALSE)="-"), "", VLOOKUP(E719&amp;"|"&amp;H719&amp;"", DB!$A:$N, 6, FALSE)), ""))</f>
        <v/>
      </c>
      <c r="K719" s="35"/>
      <c r="L719" s="35"/>
      <c r="M719" s="35"/>
      <c r="N719" s="35" t="str">
        <f t="shared" si="11"/>
        <v/>
      </c>
      <c r="O719" s="34"/>
      <c r="P719" s="34"/>
      <c r="Q719" s="34"/>
      <c r="R719" s="34"/>
      <c r="S719" s="34"/>
      <c r="T719" s="34"/>
      <c r="U719" s="34"/>
      <c r="V719" s="34"/>
    </row>
    <row r="720" spans="1:22">
      <c r="A720" s="35"/>
      <c r="B720" s="3"/>
      <c r="C720" s="35"/>
      <c r="D720" s="34"/>
      <c r="E720" s="34"/>
      <c r="F720" s="35"/>
      <c r="G720" s="35"/>
      <c r="H720" s="3"/>
      <c r="I720" s="35"/>
      <c r="J720" s="35" t="str">
        <f>IF(OR(TRIM(E720)="", TRIM(H720)=""), "", IFERROR(IF(OR(VLOOKUP(E720&amp;"|"&amp;H720&amp;"", DB!$A:$N, 6, FALSE)="", VLOOKUP(E720&amp;"|"&amp;H720&amp;"", DB!$A:$N, 6, FALSE)="-"), "", VLOOKUP(E720&amp;"|"&amp;H720&amp;"", DB!$A:$N, 6, FALSE)), ""))</f>
        <v/>
      </c>
      <c r="K720" s="35"/>
      <c r="L720" s="35"/>
      <c r="M720" s="35"/>
      <c r="N720" s="35" t="str">
        <f t="shared" si="11"/>
        <v/>
      </c>
      <c r="O720" s="34"/>
      <c r="P720" s="34"/>
      <c r="Q720" s="34"/>
      <c r="R720" s="34"/>
      <c r="S720" s="34"/>
      <c r="T720" s="34"/>
      <c r="U720" s="34"/>
      <c r="V720" s="34"/>
    </row>
    <row r="721" spans="1:22">
      <c r="A721" s="35"/>
      <c r="B721" s="3"/>
      <c r="C721" s="35"/>
      <c r="D721" s="34"/>
      <c r="E721" s="34"/>
      <c r="F721" s="35"/>
      <c r="G721" s="35"/>
      <c r="H721" s="3"/>
      <c r="I721" s="35"/>
      <c r="J721" s="35" t="str">
        <f>IF(OR(TRIM(E721)="", TRIM(H721)=""), "", IFERROR(IF(OR(VLOOKUP(E721&amp;"|"&amp;H721&amp;"", DB!$A:$N, 6, FALSE)="", VLOOKUP(E721&amp;"|"&amp;H721&amp;"", DB!$A:$N, 6, FALSE)="-"), "", VLOOKUP(E721&amp;"|"&amp;H721&amp;"", DB!$A:$N, 6, FALSE)), ""))</f>
        <v/>
      </c>
      <c r="K721" s="35"/>
      <c r="L721" s="35"/>
      <c r="M721" s="35"/>
      <c r="N721" s="35" t="str">
        <f t="shared" si="11"/>
        <v/>
      </c>
      <c r="O721" s="34"/>
      <c r="P721" s="34"/>
      <c r="Q721" s="34"/>
      <c r="R721" s="34"/>
      <c r="S721" s="34"/>
      <c r="T721" s="34"/>
      <c r="U721" s="34"/>
      <c r="V721" s="34"/>
    </row>
    <row r="722" spans="1:22">
      <c r="A722" s="35"/>
      <c r="B722" s="3"/>
      <c r="C722" s="35"/>
      <c r="D722" s="34"/>
      <c r="E722" s="34"/>
      <c r="F722" s="35"/>
      <c r="G722" s="35"/>
      <c r="H722" s="3"/>
      <c r="I722" s="35"/>
      <c r="J722" s="35" t="str">
        <f>IF(OR(TRIM(E722)="", TRIM(H722)=""), "", IFERROR(IF(OR(VLOOKUP(E722&amp;"|"&amp;H722&amp;"", DB!$A:$N, 6, FALSE)="", VLOOKUP(E722&amp;"|"&amp;H722&amp;"", DB!$A:$N, 6, FALSE)="-"), "", VLOOKUP(E722&amp;"|"&amp;H722&amp;"", DB!$A:$N, 6, FALSE)), ""))</f>
        <v/>
      </c>
      <c r="K722" s="35"/>
      <c r="L722" s="35"/>
      <c r="M722" s="35"/>
      <c r="N722" s="35" t="str">
        <f t="shared" si="11"/>
        <v/>
      </c>
      <c r="O722" s="34"/>
      <c r="P722" s="34"/>
      <c r="Q722" s="34"/>
      <c r="R722" s="34"/>
      <c r="S722" s="34"/>
      <c r="T722" s="34"/>
      <c r="U722" s="34"/>
      <c r="V722" s="34"/>
    </row>
    <row r="723" spans="1:22">
      <c r="A723" s="35"/>
      <c r="B723" s="3"/>
      <c r="C723" s="35"/>
      <c r="D723" s="34"/>
      <c r="E723" s="34"/>
      <c r="F723" s="35"/>
      <c r="G723" s="35"/>
      <c r="H723" s="3"/>
      <c r="I723" s="35"/>
      <c r="J723" s="35" t="str">
        <f>IF(OR(TRIM(E723)="", TRIM(H723)=""), "", IFERROR(IF(OR(VLOOKUP(E723&amp;"|"&amp;H723&amp;"", DB!$A:$N, 6, FALSE)="", VLOOKUP(E723&amp;"|"&amp;H723&amp;"", DB!$A:$N, 6, FALSE)="-"), "", VLOOKUP(E723&amp;"|"&amp;H723&amp;"", DB!$A:$N, 6, FALSE)), ""))</f>
        <v/>
      </c>
      <c r="K723" s="35"/>
      <c r="L723" s="35"/>
      <c r="M723" s="35"/>
      <c r="N723" s="35" t="str">
        <f t="shared" si="11"/>
        <v/>
      </c>
      <c r="O723" s="34"/>
      <c r="P723" s="34"/>
      <c r="Q723" s="34"/>
      <c r="R723" s="34"/>
      <c r="S723" s="34"/>
      <c r="T723" s="34"/>
      <c r="U723" s="34"/>
      <c r="V723" s="34"/>
    </row>
    <row r="724" spans="1:22">
      <c r="A724" s="35"/>
      <c r="B724" s="3"/>
      <c r="C724" s="35"/>
      <c r="D724" s="34"/>
      <c r="E724" s="34"/>
      <c r="F724" s="35"/>
      <c r="G724" s="35"/>
      <c r="H724" s="3"/>
      <c r="I724" s="35"/>
      <c r="J724" s="35" t="str">
        <f>IF(OR(TRIM(E724)="", TRIM(H724)=""), "", IFERROR(IF(OR(VLOOKUP(E724&amp;"|"&amp;H724&amp;"", DB!$A:$N, 6, FALSE)="", VLOOKUP(E724&amp;"|"&amp;H724&amp;"", DB!$A:$N, 6, FALSE)="-"), "", VLOOKUP(E724&amp;"|"&amp;H724&amp;"", DB!$A:$N, 6, FALSE)), ""))</f>
        <v/>
      </c>
      <c r="K724" s="35"/>
      <c r="L724" s="35"/>
      <c r="M724" s="35"/>
      <c r="N724" s="35" t="str">
        <f t="shared" si="11"/>
        <v/>
      </c>
      <c r="O724" s="34"/>
      <c r="P724" s="34"/>
      <c r="Q724" s="34"/>
      <c r="R724" s="34"/>
      <c r="S724" s="34"/>
      <c r="T724" s="34"/>
      <c r="U724" s="34"/>
      <c r="V724" s="34"/>
    </row>
    <row r="725" spans="1:22">
      <c r="A725" s="35"/>
      <c r="B725" s="3"/>
      <c r="C725" s="35"/>
      <c r="D725" s="34"/>
      <c r="E725" s="34"/>
      <c r="F725" s="35"/>
      <c r="G725" s="35"/>
      <c r="H725" s="3"/>
      <c r="I725" s="35"/>
      <c r="J725" s="35" t="str">
        <f>IF(OR(TRIM(E725)="", TRIM(H725)=""), "", IFERROR(IF(OR(VLOOKUP(E725&amp;"|"&amp;H725&amp;"", DB!$A:$N, 6, FALSE)="", VLOOKUP(E725&amp;"|"&amp;H725&amp;"", DB!$A:$N, 6, FALSE)="-"), "", VLOOKUP(E725&amp;"|"&amp;H725&amp;"", DB!$A:$N, 6, FALSE)), ""))</f>
        <v/>
      </c>
      <c r="K725" s="35"/>
      <c r="L725" s="35"/>
      <c r="M725" s="35"/>
      <c r="N725" s="35" t="str">
        <f t="shared" si="11"/>
        <v/>
      </c>
      <c r="O725" s="34"/>
      <c r="P725" s="34"/>
      <c r="Q725" s="34"/>
      <c r="R725" s="34"/>
      <c r="S725" s="34"/>
      <c r="T725" s="34"/>
      <c r="U725" s="34"/>
      <c r="V725" s="34"/>
    </row>
    <row r="726" spans="1:22">
      <c r="A726" s="35"/>
      <c r="B726" s="3"/>
      <c r="C726" s="35"/>
      <c r="D726" s="34"/>
      <c r="E726" s="34"/>
      <c r="F726" s="35"/>
      <c r="G726" s="35"/>
      <c r="H726" s="3"/>
      <c r="I726" s="35"/>
      <c r="J726" s="35" t="str">
        <f>IF(OR(TRIM(E726)="", TRIM(H726)=""), "", IFERROR(IF(OR(VLOOKUP(E726&amp;"|"&amp;H726&amp;"", DB!$A:$N, 6, FALSE)="", VLOOKUP(E726&amp;"|"&amp;H726&amp;"", DB!$A:$N, 6, FALSE)="-"), "", VLOOKUP(E726&amp;"|"&amp;H726&amp;"", DB!$A:$N, 6, FALSE)), ""))</f>
        <v/>
      </c>
      <c r="K726" s="35"/>
      <c r="L726" s="35"/>
      <c r="M726" s="35"/>
      <c r="N726" s="35" t="str">
        <f t="shared" si="11"/>
        <v/>
      </c>
      <c r="O726" s="34"/>
      <c r="P726" s="34"/>
      <c r="Q726" s="34"/>
      <c r="R726" s="34"/>
      <c r="S726" s="34"/>
      <c r="T726" s="34"/>
      <c r="U726" s="34"/>
      <c r="V726" s="34"/>
    </row>
    <row r="727" spans="1:22">
      <c r="A727" s="35"/>
      <c r="B727" s="3"/>
      <c r="C727" s="35"/>
      <c r="D727" s="34"/>
      <c r="E727" s="34"/>
      <c r="F727" s="35"/>
      <c r="G727" s="35"/>
      <c r="H727" s="3"/>
      <c r="I727" s="35"/>
      <c r="J727" s="35" t="str">
        <f>IF(OR(TRIM(E727)="", TRIM(H727)=""), "", IFERROR(IF(OR(VLOOKUP(E727&amp;"|"&amp;H727&amp;"", DB!$A:$N, 6, FALSE)="", VLOOKUP(E727&amp;"|"&amp;H727&amp;"", DB!$A:$N, 6, FALSE)="-"), "", VLOOKUP(E727&amp;"|"&amp;H727&amp;"", DB!$A:$N, 6, FALSE)), ""))</f>
        <v/>
      </c>
      <c r="K727" s="35"/>
      <c r="L727" s="35"/>
      <c r="M727" s="35"/>
      <c r="N727" s="35" t="str">
        <f t="shared" si="11"/>
        <v/>
      </c>
      <c r="O727" s="34"/>
      <c r="P727" s="34"/>
      <c r="Q727" s="34"/>
      <c r="R727" s="34"/>
      <c r="S727" s="34"/>
      <c r="T727" s="34"/>
      <c r="U727" s="34"/>
      <c r="V727" s="34"/>
    </row>
    <row r="728" spans="1:22">
      <c r="A728" s="35"/>
      <c r="B728" s="3"/>
      <c r="C728" s="35"/>
      <c r="D728" s="34"/>
      <c r="E728" s="34"/>
      <c r="F728" s="35"/>
      <c r="G728" s="35"/>
      <c r="H728" s="3"/>
      <c r="I728" s="35"/>
      <c r="J728" s="35" t="str">
        <f>IF(OR(TRIM(E728)="", TRIM(H728)=""), "", IFERROR(IF(OR(VLOOKUP(E728&amp;"|"&amp;H728&amp;"", DB!$A:$N, 6, FALSE)="", VLOOKUP(E728&amp;"|"&amp;H728&amp;"", DB!$A:$N, 6, FALSE)="-"), "", VLOOKUP(E728&amp;"|"&amp;H728&amp;"", DB!$A:$N, 6, FALSE)), ""))</f>
        <v/>
      </c>
      <c r="K728" s="35"/>
      <c r="L728" s="35"/>
      <c r="M728" s="35"/>
      <c r="N728" s="35" t="str">
        <f t="shared" si="11"/>
        <v/>
      </c>
      <c r="O728" s="34"/>
      <c r="P728" s="34"/>
      <c r="Q728" s="34"/>
      <c r="R728" s="34"/>
      <c r="S728" s="34"/>
      <c r="T728" s="34"/>
      <c r="U728" s="34"/>
      <c r="V728" s="34"/>
    </row>
    <row r="729" spans="1:22">
      <c r="A729" s="35"/>
      <c r="B729" s="3"/>
      <c r="C729" s="35"/>
      <c r="D729" s="34"/>
      <c r="E729" s="34"/>
      <c r="F729" s="35"/>
      <c r="G729" s="35"/>
      <c r="H729" s="3"/>
      <c r="I729" s="35"/>
      <c r="J729" s="35" t="str">
        <f>IF(OR(TRIM(E729)="", TRIM(H729)=""), "", IFERROR(IF(OR(VLOOKUP(E729&amp;"|"&amp;H729&amp;"", DB!$A:$N, 6, FALSE)="", VLOOKUP(E729&amp;"|"&amp;H729&amp;"", DB!$A:$N, 6, FALSE)="-"), "", VLOOKUP(E729&amp;"|"&amp;H729&amp;"", DB!$A:$N, 6, FALSE)), ""))</f>
        <v/>
      </c>
      <c r="K729" s="35"/>
      <c r="L729" s="35"/>
      <c r="M729" s="35"/>
      <c r="N729" s="35" t="str">
        <f t="shared" si="11"/>
        <v/>
      </c>
      <c r="O729" s="34"/>
      <c r="P729" s="34"/>
      <c r="Q729" s="34"/>
      <c r="R729" s="34"/>
      <c r="S729" s="34"/>
      <c r="T729" s="34"/>
      <c r="U729" s="34"/>
      <c r="V729" s="34"/>
    </row>
    <row r="730" spans="1:22">
      <c r="A730" s="35"/>
      <c r="B730" s="3"/>
      <c r="C730" s="35"/>
      <c r="D730" s="34"/>
      <c r="E730" s="34"/>
      <c r="F730" s="35"/>
      <c r="G730" s="35"/>
      <c r="H730" s="3"/>
      <c r="I730" s="35"/>
      <c r="J730" s="35" t="str">
        <f>IF(OR(TRIM(E730)="", TRIM(H730)=""), "", IFERROR(IF(OR(VLOOKUP(E730&amp;"|"&amp;H730&amp;"", DB!$A:$N, 6, FALSE)="", VLOOKUP(E730&amp;"|"&amp;H730&amp;"", DB!$A:$N, 6, FALSE)="-"), "", VLOOKUP(E730&amp;"|"&amp;H730&amp;"", DB!$A:$N, 6, FALSE)), ""))</f>
        <v/>
      </c>
      <c r="K730" s="35"/>
      <c r="L730" s="35"/>
      <c r="M730" s="35"/>
      <c r="N730" s="35" t="str">
        <f t="shared" si="11"/>
        <v/>
      </c>
      <c r="O730" s="34"/>
      <c r="P730" s="34"/>
      <c r="Q730" s="34"/>
      <c r="R730" s="34"/>
      <c r="S730" s="34"/>
      <c r="T730" s="34"/>
      <c r="U730" s="34"/>
      <c r="V730" s="34"/>
    </row>
    <row r="731" spans="1:22">
      <c r="A731" s="35"/>
      <c r="B731" s="3"/>
      <c r="C731" s="35"/>
      <c r="D731" s="34"/>
      <c r="E731" s="34"/>
      <c r="F731" s="35"/>
      <c r="G731" s="35"/>
      <c r="H731" s="3"/>
      <c r="I731" s="35"/>
      <c r="J731" s="35" t="str">
        <f>IF(OR(TRIM(E731)="", TRIM(H731)=""), "", IFERROR(IF(OR(VLOOKUP(E731&amp;"|"&amp;H731&amp;"", DB!$A:$N, 6, FALSE)="", VLOOKUP(E731&amp;"|"&amp;H731&amp;"", DB!$A:$N, 6, FALSE)="-"), "", VLOOKUP(E731&amp;"|"&amp;H731&amp;"", DB!$A:$N, 6, FALSE)), ""))</f>
        <v/>
      </c>
      <c r="K731" s="35"/>
      <c r="L731" s="35"/>
      <c r="M731" s="35"/>
      <c r="N731" s="35" t="str">
        <f t="shared" si="11"/>
        <v/>
      </c>
      <c r="O731" s="34"/>
      <c r="P731" s="34"/>
      <c r="Q731" s="34"/>
      <c r="R731" s="34"/>
      <c r="S731" s="34"/>
      <c r="T731" s="34"/>
      <c r="U731" s="34"/>
      <c r="V731" s="34"/>
    </row>
    <row r="732" spans="1:22">
      <c r="A732" s="35"/>
      <c r="B732" s="3"/>
      <c r="C732" s="35"/>
      <c r="D732" s="34"/>
      <c r="E732" s="34"/>
      <c r="F732" s="35"/>
      <c r="G732" s="35"/>
      <c r="H732" s="3"/>
      <c r="I732" s="35"/>
      <c r="J732" s="35" t="str">
        <f>IF(OR(TRIM(E732)="", TRIM(H732)=""), "", IFERROR(IF(OR(VLOOKUP(E732&amp;"|"&amp;H732&amp;"", DB!$A:$N, 6, FALSE)="", VLOOKUP(E732&amp;"|"&amp;H732&amp;"", DB!$A:$N, 6, FALSE)="-"), "", VLOOKUP(E732&amp;"|"&amp;H732&amp;"", DB!$A:$N, 6, FALSE)), ""))</f>
        <v/>
      </c>
      <c r="K732" s="35"/>
      <c r="L732" s="35"/>
      <c r="M732" s="35"/>
      <c r="N732" s="35" t="str">
        <f t="shared" si="11"/>
        <v/>
      </c>
      <c r="O732" s="34"/>
      <c r="P732" s="34"/>
      <c r="Q732" s="34"/>
      <c r="R732" s="34"/>
      <c r="S732" s="34"/>
      <c r="T732" s="34"/>
      <c r="U732" s="34"/>
      <c r="V732" s="34"/>
    </row>
    <row r="733" spans="1:22">
      <c r="A733" s="35"/>
      <c r="B733" s="3"/>
      <c r="C733" s="35"/>
      <c r="D733" s="34"/>
      <c r="E733" s="34"/>
      <c r="F733" s="35"/>
      <c r="G733" s="35"/>
      <c r="H733" s="3"/>
      <c r="I733" s="35"/>
      <c r="J733" s="35" t="str">
        <f>IF(OR(TRIM(E733)="", TRIM(H733)=""), "", IFERROR(IF(OR(VLOOKUP(E733&amp;"|"&amp;H733&amp;"", DB!$A:$N, 6, FALSE)="", VLOOKUP(E733&amp;"|"&amp;H733&amp;"", DB!$A:$N, 6, FALSE)="-"), "", VLOOKUP(E733&amp;"|"&amp;H733&amp;"", DB!$A:$N, 6, FALSE)), ""))</f>
        <v/>
      </c>
      <c r="K733" s="35"/>
      <c r="L733" s="35"/>
      <c r="M733" s="35"/>
      <c r="N733" s="35" t="str">
        <f t="shared" si="11"/>
        <v/>
      </c>
      <c r="O733" s="34"/>
      <c r="P733" s="34"/>
      <c r="Q733" s="34"/>
      <c r="R733" s="34"/>
      <c r="S733" s="34"/>
      <c r="T733" s="34"/>
      <c r="U733" s="34"/>
      <c r="V733" s="34"/>
    </row>
    <row r="734" spans="1:22">
      <c r="A734" s="35"/>
      <c r="B734" s="3"/>
      <c r="C734" s="35"/>
      <c r="D734" s="34"/>
      <c r="E734" s="34"/>
      <c r="F734" s="35"/>
      <c r="G734" s="35"/>
      <c r="H734" s="3"/>
      <c r="I734" s="35"/>
      <c r="J734" s="35" t="str">
        <f>IF(OR(TRIM(E734)="", TRIM(H734)=""), "", IFERROR(IF(OR(VLOOKUP(E734&amp;"|"&amp;H734&amp;"", DB!$A:$N, 6, FALSE)="", VLOOKUP(E734&amp;"|"&amp;H734&amp;"", DB!$A:$N, 6, FALSE)="-"), "", VLOOKUP(E734&amp;"|"&amp;H734&amp;"", DB!$A:$N, 6, FALSE)), ""))</f>
        <v/>
      </c>
      <c r="K734" s="35"/>
      <c r="L734" s="35"/>
      <c r="M734" s="35"/>
      <c r="N734" s="35" t="str">
        <f t="shared" si="11"/>
        <v/>
      </c>
      <c r="O734" s="34"/>
      <c r="P734" s="34"/>
      <c r="Q734" s="34"/>
      <c r="R734" s="34"/>
      <c r="S734" s="34"/>
      <c r="T734" s="34"/>
      <c r="U734" s="34"/>
      <c r="V734" s="34"/>
    </row>
    <row r="735" spans="1:22">
      <c r="A735" s="35"/>
      <c r="B735" s="3"/>
      <c r="C735" s="35"/>
      <c r="D735" s="34"/>
      <c r="E735" s="34"/>
      <c r="F735" s="35"/>
      <c r="G735" s="35"/>
      <c r="H735" s="3"/>
      <c r="I735" s="35"/>
      <c r="J735" s="35" t="str">
        <f>IF(OR(TRIM(E735)="", TRIM(H735)=""), "", IFERROR(IF(OR(VLOOKUP(E735&amp;"|"&amp;H735&amp;"", DB!$A:$N, 6, FALSE)="", VLOOKUP(E735&amp;"|"&amp;H735&amp;"", DB!$A:$N, 6, FALSE)="-"), "", VLOOKUP(E735&amp;"|"&amp;H735&amp;"", DB!$A:$N, 6, FALSE)), ""))</f>
        <v/>
      </c>
      <c r="K735" s="35"/>
      <c r="L735" s="35"/>
      <c r="M735" s="35"/>
      <c r="N735" s="35" t="str">
        <f t="shared" si="11"/>
        <v/>
      </c>
      <c r="O735" s="34"/>
      <c r="P735" s="34"/>
      <c r="Q735" s="34"/>
      <c r="R735" s="34"/>
      <c r="S735" s="34"/>
      <c r="T735" s="34"/>
      <c r="U735" s="34"/>
      <c r="V735" s="34"/>
    </row>
    <row r="736" spans="1:22">
      <c r="A736" s="35"/>
      <c r="B736" s="3"/>
      <c r="C736" s="35"/>
      <c r="D736" s="34"/>
      <c r="E736" s="34"/>
      <c r="F736" s="35"/>
      <c r="G736" s="35"/>
      <c r="H736" s="3"/>
      <c r="I736" s="35"/>
      <c r="J736" s="35" t="str">
        <f>IF(OR(TRIM(E736)="", TRIM(H736)=""), "", IFERROR(IF(OR(VLOOKUP(E736&amp;"|"&amp;H736&amp;"", DB!$A:$N, 6, FALSE)="", VLOOKUP(E736&amp;"|"&amp;H736&amp;"", DB!$A:$N, 6, FALSE)="-"), "", VLOOKUP(E736&amp;"|"&amp;H736&amp;"", DB!$A:$N, 6, FALSE)), ""))</f>
        <v/>
      </c>
      <c r="K736" s="35"/>
      <c r="L736" s="35"/>
      <c r="M736" s="35"/>
      <c r="N736" s="35" t="str">
        <f t="shared" si="11"/>
        <v/>
      </c>
      <c r="O736" s="34"/>
      <c r="P736" s="34"/>
      <c r="Q736" s="34"/>
      <c r="R736" s="34"/>
      <c r="S736" s="34"/>
      <c r="T736" s="34"/>
      <c r="U736" s="34"/>
      <c r="V736" s="34"/>
    </row>
    <row r="737" spans="1:22">
      <c r="A737" s="35"/>
      <c r="B737" s="3"/>
      <c r="C737" s="35"/>
      <c r="D737" s="34"/>
      <c r="E737" s="34"/>
      <c r="F737" s="35"/>
      <c r="G737" s="35"/>
      <c r="H737" s="3"/>
      <c r="I737" s="35"/>
      <c r="J737" s="35" t="str">
        <f>IF(OR(TRIM(E737)="", TRIM(H737)=""), "", IFERROR(IF(OR(VLOOKUP(E737&amp;"|"&amp;H737&amp;"", DB!$A:$N, 6, FALSE)="", VLOOKUP(E737&amp;"|"&amp;H737&amp;"", DB!$A:$N, 6, FALSE)="-"), "", VLOOKUP(E737&amp;"|"&amp;H737&amp;"", DB!$A:$N, 6, FALSE)), ""))</f>
        <v/>
      </c>
      <c r="K737" s="35"/>
      <c r="L737" s="35"/>
      <c r="M737" s="35"/>
      <c r="N737" s="35" t="str">
        <f t="shared" si="11"/>
        <v/>
      </c>
      <c r="O737" s="34"/>
      <c r="P737" s="34"/>
      <c r="Q737" s="34"/>
      <c r="R737" s="34"/>
      <c r="S737" s="34"/>
      <c r="T737" s="34"/>
      <c r="U737" s="34"/>
      <c r="V737" s="34"/>
    </row>
    <row r="738" spans="1:22">
      <c r="A738" s="35"/>
      <c r="B738" s="3"/>
      <c r="C738" s="35"/>
      <c r="D738" s="34"/>
      <c r="E738" s="34"/>
      <c r="F738" s="35"/>
      <c r="G738" s="35"/>
      <c r="H738" s="3"/>
      <c r="I738" s="35"/>
      <c r="J738" s="35" t="str">
        <f>IF(OR(TRIM(E738)="", TRIM(H738)=""), "", IFERROR(IF(OR(VLOOKUP(E738&amp;"|"&amp;H738&amp;"", DB!$A:$N, 6, FALSE)="", VLOOKUP(E738&amp;"|"&amp;H738&amp;"", DB!$A:$N, 6, FALSE)="-"), "", VLOOKUP(E738&amp;"|"&amp;H738&amp;"", DB!$A:$N, 6, FALSE)), ""))</f>
        <v/>
      </c>
      <c r="K738" s="35"/>
      <c r="L738" s="35"/>
      <c r="M738" s="35"/>
      <c r="N738" s="35" t="str">
        <f t="shared" si="11"/>
        <v/>
      </c>
      <c r="O738" s="34"/>
      <c r="P738" s="34"/>
      <c r="Q738" s="34"/>
      <c r="R738" s="34"/>
      <c r="S738" s="34"/>
      <c r="T738" s="34"/>
      <c r="U738" s="34"/>
      <c r="V738" s="34"/>
    </row>
    <row r="739" spans="1:22">
      <c r="A739" s="35"/>
      <c r="B739" s="3"/>
      <c r="C739" s="35"/>
      <c r="D739" s="34"/>
      <c r="E739" s="34"/>
      <c r="F739" s="35"/>
      <c r="G739" s="35"/>
      <c r="H739" s="3"/>
      <c r="I739" s="35"/>
      <c r="J739" s="35" t="str">
        <f>IF(OR(TRIM(E739)="", TRIM(H739)=""), "", IFERROR(IF(OR(VLOOKUP(E739&amp;"|"&amp;H739&amp;"", DB!$A:$N, 6, FALSE)="", VLOOKUP(E739&amp;"|"&amp;H739&amp;"", DB!$A:$N, 6, FALSE)="-"), "", VLOOKUP(E739&amp;"|"&amp;H739&amp;"", DB!$A:$N, 6, FALSE)), ""))</f>
        <v/>
      </c>
      <c r="K739" s="35"/>
      <c r="L739" s="35"/>
      <c r="M739" s="35"/>
      <c r="N739" s="35" t="str">
        <f t="shared" si="11"/>
        <v/>
      </c>
      <c r="O739" s="34"/>
      <c r="P739" s="34"/>
      <c r="Q739" s="34"/>
      <c r="R739" s="34"/>
      <c r="S739" s="34"/>
      <c r="T739" s="34"/>
      <c r="U739" s="34"/>
      <c r="V739" s="34"/>
    </row>
    <row r="740" spans="1:22">
      <c r="A740" s="35"/>
      <c r="B740" s="3"/>
      <c r="C740" s="35"/>
      <c r="D740" s="34"/>
      <c r="E740" s="34"/>
      <c r="F740" s="35"/>
      <c r="G740" s="35"/>
      <c r="H740" s="3"/>
      <c r="I740" s="35"/>
      <c r="J740" s="35" t="str">
        <f>IF(OR(TRIM(E740)="", TRIM(H740)=""), "", IFERROR(IF(OR(VLOOKUP(E740&amp;"|"&amp;H740&amp;"", DB!$A:$N, 6, FALSE)="", VLOOKUP(E740&amp;"|"&amp;H740&amp;"", DB!$A:$N, 6, FALSE)="-"), "", VLOOKUP(E740&amp;"|"&amp;H740&amp;"", DB!$A:$N, 6, FALSE)), ""))</f>
        <v/>
      </c>
      <c r="K740" s="35"/>
      <c r="L740" s="35"/>
      <c r="M740" s="35"/>
      <c r="N740" s="35" t="str">
        <f t="shared" si="11"/>
        <v/>
      </c>
      <c r="O740" s="34"/>
      <c r="P740" s="34"/>
      <c r="Q740" s="34"/>
      <c r="R740" s="34"/>
      <c r="S740" s="34"/>
      <c r="T740" s="34"/>
      <c r="U740" s="34"/>
      <c r="V740" s="34"/>
    </row>
    <row r="741" spans="1:22">
      <c r="A741" s="35"/>
      <c r="B741" s="3"/>
      <c r="C741" s="35"/>
      <c r="D741" s="34"/>
      <c r="E741" s="34"/>
      <c r="F741" s="35"/>
      <c r="G741" s="35"/>
      <c r="H741" s="3"/>
      <c r="I741" s="35"/>
      <c r="J741" s="35" t="str">
        <f>IF(OR(TRIM(E741)="", TRIM(H741)=""), "", IFERROR(IF(OR(VLOOKUP(E741&amp;"|"&amp;H741&amp;"", DB!$A:$N, 6, FALSE)="", VLOOKUP(E741&amp;"|"&amp;H741&amp;"", DB!$A:$N, 6, FALSE)="-"), "", VLOOKUP(E741&amp;"|"&amp;H741&amp;"", DB!$A:$N, 6, FALSE)), ""))</f>
        <v/>
      </c>
      <c r="K741" s="35"/>
      <c r="L741" s="35"/>
      <c r="M741" s="35"/>
      <c r="N741" s="35" t="str">
        <f t="shared" si="11"/>
        <v/>
      </c>
      <c r="O741" s="34"/>
      <c r="P741" s="34"/>
      <c r="Q741" s="34"/>
      <c r="R741" s="34"/>
      <c r="S741" s="34"/>
      <c r="T741" s="34"/>
      <c r="U741" s="34"/>
      <c r="V741" s="34"/>
    </row>
    <row r="742" spans="1:22">
      <c r="A742" s="35"/>
      <c r="B742" s="3"/>
      <c r="C742" s="35"/>
      <c r="D742" s="34"/>
      <c r="E742" s="34"/>
      <c r="F742" s="35"/>
      <c r="G742" s="35"/>
      <c r="H742" s="3"/>
      <c r="I742" s="35"/>
      <c r="J742" s="35" t="str">
        <f>IF(OR(TRIM(E742)="", TRIM(H742)=""), "", IFERROR(IF(OR(VLOOKUP(E742&amp;"|"&amp;H742&amp;"", DB!$A:$N, 6, FALSE)="", VLOOKUP(E742&amp;"|"&amp;H742&amp;"", DB!$A:$N, 6, FALSE)="-"), "", VLOOKUP(E742&amp;"|"&amp;H742&amp;"", DB!$A:$N, 6, FALSE)), ""))</f>
        <v/>
      </c>
      <c r="K742" s="35"/>
      <c r="L742" s="35"/>
      <c r="M742" s="35"/>
      <c r="N742" s="35" t="str">
        <f t="shared" si="11"/>
        <v/>
      </c>
      <c r="O742" s="34"/>
      <c r="P742" s="34"/>
      <c r="Q742" s="34"/>
      <c r="R742" s="34"/>
      <c r="S742" s="34"/>
      <c r="T742" s="34"/>
      <c r="U742" s="34"/>
      <c r="V742" s="34"/>
    </row>
    <row r="743" spans="1:22">
      <c r="A743" s="35"/>
      <c r="B743" s="3"/>
      <c r="C743" s="35"/>
      <c r="D743" s="34"/>
      <c r="E743" s="34"/>
      <c r="F743" s="35"/>
      <c r="G743" s="35"/>
      <c r="H743" s="3"/>
      <c r="I743" s="35"/>
      <c r="J743" s="35" t="str">
        <f>IF(OR(TRIM(E743)="", TRIM(H743)=""), "", IFERROR(IF(OR(VLOOKUP(E743&amp;"|"&amp;H743&amp;"", DB!$A:$N, 6, FALSE)="", VLOOKUP(E743&amp;"|"&amp;H743&amp;"", DB!$A:$N, 6, FALSE)="-"), "", VLOOKUP(E743&amp;"|"&amp;H743&amp;"", DB!$A:$N, 6, FALSE)), ""))</f>
        <v/>
      </c>
      <c r="K743" s="35"/>
      <c r="L743" s="35"/>
      <c r="M743" s="35"/>
      <c r="N743" s="35" t="str">
        <f t="shared" si="11"/>
        <v/>
      </c>
      <c r="O743" s="34"/>
      <c r="P743" s="34"/>
      <c r="Q743" s="34"/>
      <c r="R743" s="34"/>
      <c r="S743" s="34"/>
      <c r="T743" s="34"/>
      <c r="U743" s="34"/>
      <c r="V743" s="34"/>
    </row>
    <row r="744" spans="1:22">
      <c r="A744" s="35"/>
      <c r="B744" s="3"/>
      <c r="C744" s="35"/>
      <c r="D744" s="34"/>
      <c r="E744" s="34"/>
      <c r="F744" s="35"/>
      <c r="G744" s="35"/>
      <c r="H744" s="3"/>
      <c r="I744" s="35"/>
      <c r="J744" s="35" t="str">
        <f>IF(OR(TRIM(E744)="", TRIM(H744)=""), "", IFERROR(IF(OR(VLOOKUP(E744&amp;"|"&amp;H744&amp;"", DB!$A:$N, 6, FALSE)="", VLOOKUP(E744&amp;"|"&amp;H744&amp;"", DB!$A:$N, 6, FALSE)="-"), "", VLOOKUP(E744&amp;"|"&amp;H744&amp;"", DB!$A:$N, 6, FALSE)), ""))</f>
        <v/>
      </c>
      <c r="K744" s="35"/>
      <c r="L744" s="35"/>
      <c r="M744" s="35"/>
      <c r="N744" s="35" t="str">
        <f t="shared" si="11"/>
        <v/>
      </c>
      <c r="O744" s="34"/>
      <c r="P744" s="34"/>
      <c r="Q744" s="34"/>
      <c r="R744" s="34"/>
      <c r="S744" s="34"/>
      <c r="T744" s="34"/>
      <c r="U744" s="34"/>
      <c r="V744" s="34"/>
    </row>
    <row r="745" spans="1:22">
      <c r="A745" s="35"/>
      <c r="B745" s="3"/>
      <c r="C745" s="35"/>
      <c r="D745" s="34"/>
      <c r="E745" s="34"/>
      <c r="F745" s="35"/>
      <c r="G745" s="35"/>
      <c r="H745" s="3"/>
      <c r="I745" s="35"/>
      <c r="J745" s="35" t="str">
        <f>IF(OR(TRIM(E745)="", TRIM(H745)=""), "", IFERROR(IF(OR(VLOOKUP(E745&amp;"|"&amp;H745&amp;"", DB!$A:$N, 6, FALSE)="", VLOOKUP(E745&amp;"|"&amp;H745&amp;"", DB!$A:$N, 6, FALSE)="-"), "", VLOOKUP(E745&amp;"|"&amp;H745&amp;"", DB!$A:$N, 6, FALSE)), ""))</f>
        <v/>
      </c>
      <c r="K745" s="35"/>
      <c r="L745" s="35"/>
      <c r="M745" s="35"/>
      <c r="N745" s="35" t="str">
        <f t="shared" si="11"/>
        <v/>
      </c>
      <c r="O745" s="34"/>
      <c r="P745" s="34"/>
      <c r="Q745" s="34"/>
      <c r="R745" s="34"/>
      <c r="S745" s="34"/>
      <c r="T745" s="34"/>
      <c r="U745" s="34"/>
      <c r="V745" s="34"/>
    </row>
    <row r="746" spans="1:22">
      <c r="A746" s="35"/>
      <c r="B746" s="3"/>
      <c r="C746" s="35"/>
      <c r="D746" s="34"/>
      <c r="E746" s="34"/>
      <c r="F746" s="35"/>
      <c r="G746" s="35"/>
      <c r="H746" s="3"/>
      <c r="I746" s="35"/>
      <c r="J746" s="35" t="str">
        <f>IF(OR(TRIM(E746)="", TRIM(H746)=""), "", IFERROR(IF(OR(VLOOKUP(E746&amp;"|"&amp;H746&amp;"", DB!$A:$N, 6, FALSE)="", VLOOKUP(E746&amp;"|"&amp;H746&amp;"", DB!$A:$N, 6, FALSE)="-"), "", VLOOKUP(E746&amp;"|"&amp;H746&amp;"", DB!$A:$N, 6, FALSE)), ""))</f>
        <v/>
      </c>
      <c r="K746" s="35"/>
      <c r="L746" s="35"/>
      <c r="M746" s="35"/>
      <c r="N746" s="35" t="str">
        <f t="shared" si="11"/>
        <v/>
      </c>
      <c r="O746" s="34"/>
      <c r="P746" s="34"/>
      <c r="Q746" s="34"/>
      <c r="R746" s="34"/>
      <c r="S746" s="34"/>
      <c r="T746" s="34"/>
      <c r="U746" s="34"/>
      <c r="V746" s="34"/>
    </row>
    <row r="747" spans="1:22">
      <c r="A747" s="35"/>
      <c r="B747" s="3"/>
      <c r="C747" s="35"/>
      <c r="D747" s="34"/>
      <c r="E747" s="34"/>
      <c r="F747" s="35"/>
      <c r="G747" s="35"/>
      <c r="H747" s="3"/>
      <c r="I747" s="35"/>
      <c r="J747" s="35" t="str">
        <f>IF(OR(TRIM(E747)="", TRIM(H747)=""), "", IFERROR(IF(OR(VLOOKUP(E747&amp;"|"&amp;H747&amp;"", DB!$A:$N, 6, FALSE)="", VLOOKUP(E747&amp;"|"&amp;H747&amp;"", DB!$A:$N, 6, FALSE)="-"), "", VLOOKUP(E747&amp;"|"&amp;H747&amp;"", DB!$A:$N, 6, FALSE)), ""))</f>
        <v/>
      </c>
      <c r="K747" s="35"/>
      <c r="L747" s="35"/>
      <c r="M747" s="35"/>
      <c r="N747" s="35" t="str">
        <f t="shared" si="11"/>
        <v/>
      </c>
      <c r="O747" s="34"/>
      <c r="P747" s="34"/>
      <c r="Q747" s="34"/>
      <c r="R747" s="34"/>
      <c r="S747" s="34"/>
      <c r="T747" s="34"/>
      <c r="U747" s="34"/>
      <c r="V747" s="34"/>
    </row>
    <row r="748" spans="1:22">
      <c r="A748" s="35"/>
      <c r="B748" s="3"/>
      <c r="C748" s="35"/>
      <c r="D748" s="34"/>
      <c r="E748" s="34"/>
      <c r="F748" s="35"/>
      <c r="G748" s="35"/>
      <c r="H748" s="3"/>
      <c r="I748" s="35"/>
      <c r="J748" s="35" t="str">
        <f>IF(OR(TRIM(E748)="", TRIM(H748)=""), "", IFERROR(IF(OR(VLOOKUP(E748&amp;"|"&amp;H748&amp;"", DB!$A:$N, 6, FALSE)="", VLOOKUP(E748&amp;"|"&amp;H748&amp;"", DB!$A:$N, 6, FALSE)="-"), "", VLOOKUP(E748&amp;"|"&amp;H748&amp;"", DB!$A:$N, 6, FALSE)), ""))</f>
        <v/>
      </c>
      <c r="K748" s="35"/>
      <c r="L748" s="35"/>
      <c r="M748" s="35"/>
      <c r="N748" s="35" t="str">
        <f t="shared" si="11"/>
        <v/>
      </c>
      <c r="O748" s="34"/>
      <c r="P748" s="34"/>
      <c r="Q748" s="34"/>
      <c r="R748" s="34"/>
      <c r="S748" s="34"/>
      <c r="T748" s="34"/>
      <c r="U748" s="34"/>
      <c r="V748" s="34"/>
    </row>
    <row r="749" spans="1:22">
      <c r="A749" s="35"/>
      <c r="B749" s="3"/>
      <c r="C749" s="35"/>
      <c r="D749" s="34"/>
      <c r="E749" s="34"/>
      <c r="F749" s="35"/>
      <c r="G749" s="35"/>
      <c r="H749" s="3"/>
      <c r="I749" s="35"/>
      <c r="J749" s="35" t="str">
        <f>IF(OR(TRIM(E749)="", TRIM(H749)=""), "", IFERROR(IF(OR(VLOOKUP(E749&amp;"|"&amp;H749&amp;"", DB!$A:$N, 6, FALSE)="", VLOOKUP(E749&amp;"|"&amp;H749&amp;"", DB!$A:$N, 6, FALSE)="-"), "", VLOOKUP(E749&amp;"|"&amp;H749&amp;"", DB!$A:$N, 6, FALSE)), ""))</f>
        <v/>
      </c>
      <c r="K749" s="35"/>
      <c r="L749" s="35"/>
      <c r="M749" s="35"/>
      <c r="N749" s="35" t="str">
        <f t="shared" si="11"/>
        <v/>
      </c>
      <c r="O749" s="34"/>
      <c r="P749" s="34"/>
      <c r="Q749" s="34"/>
      <c r="R749" s="34"/>
      <c r="S749" s="34"/>
      <c r="T749" s="34"/>
      <c r="U749" s="34"/>
      <c r="V749" s="34"/>
    </row>
    <row r="750" spans="1:22">
      <c r="A750" s="35"/>
      <c r="B750" s="3"/>
      <c r="C750" s="35"/>
      <c r="D750" s="34"/>
      <c r="E750" s="34"/>
      <c r="F750" s="35"/>
      <c r="G750" s="35"/>
      <c r="H750" s="3"/>
      <c r="I750" s="35"/>
      <c r="J750" s="35" t="str">
        <f>IF(OR(TRIM(E750)="", TRIM(H750)=""), "", IFERROR(IF(OR(VLOOKUP(E750&amp;"|"&amp;H750&amp;"", DB!$A:$N, 6, FALSE)="", VLOOKUP(E750&amp;"|"&amp;H750&amp;"", DB!$A:$N, 6, FALSE)="-"), "", VLOOKUP(E750&amp;"|"&amp;H750&amp;"", DB!$A:$N, 6, FALSE)), ""))</f>
        <v/>
      </c>
      <c r="K750" s="35"/>
      <c r="L750" s="35"/>
      <c r="M750" s="35"/>
      <c r="N750" s="35" t="str">
        <f t="shared" si="11"/>
        <v/>
      </c>
      <c r="O750" s="34"/>
      <c r="P750" s="34"/>
      <c r="Q750" s="34"/>
      <c r="R750" s="34"/>
      <c r="S750" s="34"/>
      <c r="T750" s="34"/>
      <c r="U750" s="34"/>
      <c r="V750" s="34"/>
    </row>
    <row r="751" spans="1:22">
      <c r="A751" s="35"/>
      <c r="B751" s="3"/>
      <c r="C751" s="35"/>
      <c r="D751" s="34"/>
      <c r="E751" s="34"/>
      <c r="F751" s="35"/>
      <c r="G751" s="35"/>
      <c r="H751" s="3"/>
      <c r="I751" s="35"/>
      <c r="J751" s="35" t="str">
        <f>IF(OR(TRIM(E751)="", TRIM(H751)=""), "", IFERROR(IF(OR(VLOOKUP(E751&amp;"|"&amp;H751&amp;"", DB!$A:$N, 6, FALSE)="", VLOOKUP(E751&amp;"|"&amp;H751&amp;"", DB!$A:$N, 6, FALSE)="-"), "", VLOOKUP(E751&amp;"|"&amp;H751&amp;"", DB!$A:$N, 6, FALSE)), ""))</f>
        <v/>
      </c>
      <c r="K751" s="35"/>
      <c r="L751" s="35"/>
      <c r="M751" s="35"/>
      <c r="N751" s="35" t="str">
        <f t="shared" si="11"/>
        <v/>
      </c>
      <c r="O751" s="34"/>
      <c r="P751" s="34"/>
      <c r="Q751" s="34"/>
      <c r="R751" s="34"/>
      <c r="S751" s="34"/>
      <c r="T751" s="34"/>
      <c r="U751" s="34"/>
      <c r="V751" s="34"/>
    </row>
    <row r="752" spans="1:22">
      <c r="A752" s="35"/>
      <c r="B752" s="3"/>
      <c r="C752" s="35"/>
      <c r="D752" s="34"/>
      <c r="E752" s="34"/>
      <c r="F752" s="35"/>
      <c r="G752" s="35"/>
      <c r="H752" s="3"/>
      <c r="I752" s="35"/>
      <c r="J752" s="35" t="str">
        <f>IF(OR(TRIM(E752)="", TRIM(H752)=""), "", IFERROR(IF(OR(VLOOKUP(E752&amp;"|"&amp;H752&amp;"", DB!$A:$N, 6, FALSE)="", VLOOKUP(E752&amp;"|"&amp;H752&amp;"", DB!$A:$N, 6, FALSE)="-"), "", VLOOKUP(E752&amp;"|"&amp;H752&amp;"", DB!$A:$N, 6, FALSE)), ""))</f>
        <v/>
      </c>
      <c r="K752" s="35"/>
      <c r="L752" s="35"/>
      <c r="M752" s="35"/>
      <c r="N752" s="35" t="str">
        <f t="shared" si="11"/>
        <v/>
      </c>
      <c r="O752" s="34"/>
      <c r="P752" s="34"/>
      <c r="Q752" s="34"/>
      <c r="R752" s="34"/>
      <c r="S752" s="34"/>
      <c r="T752" s="34"/>
      <c r="U752" s="34"/>
      <c r="V752" s="34"/>
    </row>
    <row r="753" spans="1:22">
      <c r="A753" s="35"/>
      <c r="B753" s="3"/>
      <c r="C753" s="35"/>
      <c r="D753" s="34"/>
      <c r="E753" s="34"/>
      <c r="F753" s="35"/>
      <c r="G753" s="35"/>
      <c r="H753" s="3"/>
      <c r="I753" s="35"/>
      <c r="J753" s="35" t="str">
        <f>IF(OR(TRIM(E753)="", TRIM(H753)=""), "", IFERROR(IF(OR(VLOOKUP(E753&amp;"|"&amp;H753&amp;"", DB!$A:$N, 6, FALSE)="", VLOOKUP(E753&amp;"|"&amp;H753&amp;"", DB!$A:$N, 6, FALSE)="-"), "", VLOOKUP(E753&amp;"|"&amp;H753&amp;"", DB!$A:$N, 6, FALSE)), ""))</f>
        <v/>
      </c>
      <c r="K753" s="35"/>
      <c r="L753" s="35"/>
      <c r="M753" s="35"/>
      <c r="N753" s="35" t="str">
        <f t="shared" si="11"/>
        <v/>
      </c>
      <c r="O753" s="34"/>
      <c r="P753" s="34"/>
      <c r="Q753" s="34"/>
      <c r="R753" s="34"/>
      <c r="S753" s="34"/>
      <c r="T753" s="34"/>
      <c r="U753" s="34"/>
      <c r="V753" s="34"/>
    </row>
    <row r="754" spans="1:22">
      <c r="A754" s="35"/>
      <c r="B754" s="3"/>
      <c r="C754" s="35"/>
      <c r="D754" s="34"/>
      <c r="E754" s="34"/>
      <c r="F754" s="35"/>
      <c r="G754" s="35"/>
      <c r="H754" s="3"/>
      <c r="I754" s="35"/>
      <c r="J754" s="35" t="str">
        <f>IF(OR(TRIM(E754)="", TRIM(H754)=""), "", IFERROR(IF(OR(VLOOKUP(E754&amp;"|"&amp;H754&amp;"", DB!$A:$N, 6, FALSE)="", VLOOKUP(E754&amp;"|"&amp;H754&amp;"", DB!$A:$N, 6, FALSE)="-"), "", VLOOKUP(E754&amp;"|"&amp;H754&amp;"", DB!$A:$N, 6, FALSE)), ""))</f>
        <v/>
      </c>
      <c r="K754" s="35"/>
      <c r="L754" s="35"/>
      <c r="M754" s="35"/>
      <c r="N754" s="35" t="str">
        <f t="shared" si="11"/>
        <v/>
      </c>
      <c r="O754" s="34"/>
      <c r="P754" s="34"/>
      <c r="Q754" s="34"/>
      <c r="R754" s="34"/>
      <c r="S754" s="34"/>
      <c r="T754" s="34"/>
      <c r="U754" s="34"/>
      <c r="V754" s="34"/>
    </row>
    <row r="755" spans="1:22">
      <c r="A755" s="35"/>
      <c r="B755" s="3"/>
      <c r="C755" s="35"/>
      <c r="D755" s="34"/>
      <c r="E755" s="34"/>
      <c r="F755" s="35"/>
      <c r="G755" s="35"/>
      <c r="H755" s="3"/>
      <c r="I755" s="35"/>
      <c r="J755" s="35" t="str">
        <f>IF(OR(TRIM(E755)="", TRIM(H755)=""), "", IFERROR(IF(OR(VLOOKUP(E755&amp;"|"&amp;H755&amp;"", DB!$A:$N, 6, FALSE)="", VLOOKUP(E755&amp;"|"&amp;H755&amp;"", DB!$A:$N, 6, FALSE)="-"), "", VLOOKUP(E755&amp;"|"&amp;H755&amp;"", DB!$A:$N, 6, FALSE)), ""))</f>
        <v/>
      </c>
      <c r="K755" s="35"/>
      <c r="L755" s="35"/>
      <c r="M755" s="35"/>
      <c r="N755" s="35" t="str">
        <f t="shared" si="11"/>
        <v/>
      </c>
      <c r="O755" s="34"/>
      <c r="P755" s="34"/>
      <c r="Q755" s="34"/>
      <c r="R755" s="34"/>
      <c r="S755" s="34"/>
      <c r="T755" s="34"/>
      <c r="U755" s="34"/>
      <c r="V755" s="34"/>
    </row>
    <row r="756" spans="1:22">
      <c r="A756" s="35"/>
      <c r="B756" s="3"/>
      <c r="C756" s="35"/>
      <c r="D756" s="34"/>
      <c r="E756" s="34"/>
      <c r="F756" s="35"/>
      <c r="G756" s="35"/>
      <c r="H756" s="3"/>
      <c r="I756" s="35"/>
      <c r="J756" s="35" t="str">
        <f>IF(OR(TRIM(E756)="", TRIM(H756)=""), "", IFERROR(IF(OR(VLOOKUP(E756&amp;"|"&amp;H756&amp;"", DB!$A:$N, 6, FALSE)="", VLOOKUP(E756&amp;"|"&amp;H756&amp;"", DB!$A:$N, 6, FALSE)="-"), "", VLOOKUP(E756&amp;"|"&amp;H756&amp;"", DB!$A:$N, 6, FALSE)), ""))</f>
        <v/>
      </c>
      <c r="K756" s="35"/>
      <c r="L756" s="35"/>
      <c r="M756" s="35"/>
      <c r="N756" s="35" t="str">
        <f t="shared" si="11"/>
        <v/>
      </c>
      <c r="O756" s="34"/>
      <c r="P756" s="34"/>
      <c r="Q756" s="34"/>
      <c r="R756" s="34"/>
      <c r="S756" s="34"/>
      <c r="T756" s="34"/>
      <c r="U756" s="34"/>
      <c r="V756" s="34"/>
    </row>
    <row r="757" spans="1:22">
      <c r="A757" s="35"/>
      <c r="B757" s="3"/>
      <c r="C757" s="35"/>
      <c r="D757" s="34"/>
      <c r="E757" s="34"/>
      <c r="F757" s="35"/>
      <c r="G757" s="35"/>
      <c r="H757" s="3"/>
      <c r="I757" s="35"/>
      <c r="J757" s="35" t="str">
        <f>IF(OR(TRIM(E757)="", TRIM(H757)=""), "", IFERROR(IF(OR(VLOOKUP(E757&amp;"|"&amp;H757&amp;"", DB!$A:$N, 6, FALSE)="", VLOOKUP(E757&amp;"|"&amp;H757&amp;"", DB!$A:$N, 6, FALSE)="-"), "", VLOOKUP(E757&amp;"|"&amp;H757&amp;"", DB!$A:$N, 6, FALSE)), ""))</f>
        <v/>
      </c>
      <c r="K757" s="35"/>
      <c r="L757" s="35"/>
      <c r="M757" s="35"/>
      <c r="N757" s="35" t="str">
        <f t="shared" si="11"/>
        <v/>
      </c>
      <c r="O757" s="34"/>
      <c r="P757" s="34"/>
      <c r="Q757" s="34"/>
      <c r="R757" s="34"/>
      <c r="S757" s="34"/>
      <c r="T757" s="34"/>
      <c r="U757" s="34"/>
      <c r="V757" s="34"/>
    </row>
    <row r="758" spans="1:22">
      <c r="A758" s="35"/>
      <c r="B758" s="3"/>
      <c r="C758" s="35"/>
      <c r="D758" s="34"/>
      <c r="E758" s="34"/>
      <c r="F758" s="35"/>
      <c r="G758" s="35"/>
      <c r="H758" s="3"/>
      <c r="I758" s="35"/>
      <c r="J758" s="35" t="str">
        <f>IF(OR(TRIM(E758)="", TRIM(H758)=""), "", IFERROR(IF(OR(VLOOKUP(E758&amp;"|"&amp;H758&amp;"", DB!$A:$N, 6, FALSE)="", VLOOKUP(E758&amp;"|"&amp;H758&amp;"", DB!$A:$N, 6, FALSE)="-"), "", VLOOKUP(E758&amp;"|"&amp;H758&amp;"", DB!$A:$N, 6, FALSE)), ""))</f>
        <v/>
      </c>
      <c r="K758" s="35"/>
      <c r="L758" s="35"/>
      <c r="M758" s="35"/>
      <c r="N758" s="35" t="str">
        <f t="shared" si="11"/>
        <v/>
      </c>
      <c r="O758" s="34"/>
      <c r="P758" s="34"/>
      <c r="Q758" s="34"/>
      <c r="R758" s="34"/>
      <c r="S758" s="34"/>
      <c r="T758" s="34"/>
      <c r="U758" s="34"/>
      <c r="V758" s="34"/>
    </row>
    <row r="759" spans="1:22">
      <c r="A759" s="35"/>
      <c r="B759" s="3"/>
      <c r="C759" s="35"/>
      <c r="D759" s="34"/>
      <c r="E759" s="34"/>
      <c r="F759" s="35"/>
      <c r="G759" s="35"/>
      <c r="H759" s="3"/>
      <c r="I759" s="35"/>
      <c r="J759" s="35" t="str">
        <f>IF(OR(TRIM(E759)="", TRIM(H759)=""), "", IFERROR(IF(OR(VLOOKUP(E759&amp;"|"&amp;H759&amp;"", DB!$A:$N, 6, FALSE)="", VLOOKUP(E759&amp;"|"&amp;H759&amp;"", DB!$A:$N, 6, FALSE)="-"), "", VLOOKUP(E759&amp;"|"&amp;H759&amp;"", DB!$A:$N, 6, FALSE)), ""))</f>
        <v/>
      </c>
      <c r="K759" s="35"/>
      <c r="L759" s="35"/>
      <c r="M759" s="35"/>
      <c r="N759" s="35" t="str">
        <f t="shared" si="11"/>
        <v/>
      </c>
      <c r="O759" s="34"/>
      <c r="P759" s="34"/>
      <c r="Q759" s="34"/>
      <c r="R759" s="34"/>
      <c r="S759" s="34"/>
      <c r="T759" s="34"/>
      <c r="U759" s="34"/>
      <c r="V759" s="34"/>
    </row>
    <row r="760" spans="1:22">
      <c r="A760" s="35"/>
      <c r="B760" s="3"/>
      <c r="C760" s="35"/>
      <c r="D760" s="34"/>
      <c r="E760" s="34"/>
      <c r="F760" s="35"/>
      <c r="G760" s="35"/>
      <c r="H760" s="3"/>
      <c r="I760" s="35"/>
      <c r="J760" s="35" t="str">
        <f>IF(OR(TRIM(E760)="", TRIM(H760)=""), "", IFERROR(IF(OR(VLOOKUP(E760&amp;"|"&amp;H760&amp;"", DB!$A:$N, 6, FALSE)="", VLOOKUP(E760&amp;"|"&amp;H760&amp;"", DB!$A:$N, 6, FALSE)="-"), "", VLOOKUP(E760&amp;"|"&amp;H760&amp;"", DB!$A:$N, 6, FALSE)), ""))</f>
        <v/>
      </c>
      <c r="K760" s="35"/>
      <c r="L760" s="35"/>
      <c r="M760" s="35"/>
      <c r="N760" s="35" t="str">
        <f t="shared" si="11"/>
        <v/>
      </c>
      <c r="O760" s="34"/>
      <c r="P760" s="34"/>
      <c r="Q760" s="34"/>
      <c r="R760" s="34"/>
      <c r="S760" s="34"/>
      <c r="T760" s="34"/>
      <c r="U760" s="34"/>
      <c r="V760" s="34"/>
    </row>
    <row r="761" spans="1:22">
      <c r="A761" s="35"/>
      <c r="B761" s="3"/>
      <c r="C761" s="35"/>
      <c r="D761" s="34"/>
      <c r="E761" s="34"/>
      <c r="F761" s="35"/>
      <c r="G761" s="35"/>
      <c r="H761" s="3"/>
      <c r="I761" s="35"/>
      <c r="J761" s="35" t="str">
        <f>IF(OR(TRIM(E761)="", TRIM(H761)=""), "", IFERROR(IF(OR(VLOOKUP(E761&amp;"|"&amp;H761&amp;"", DB!$A:$N, 6, FALSE)="", VLOOKUP(E761&amp;"|"&amp;H761&amp;"", DB!$A:$N, 6, FALSE)="-"), "", VLOOKUP(E761&amp;"|"&amp;H761&amp;"", DB!$A:$N, 6, FALSE)), ""))</f>
        <v/>
      </c>
      <c r="K761" s="35"/>
      <c r="L761" s="35"/>
      <c r="M761" s="35"/>
      <c r="N761" s="35" t="str">
        <f t="shared" si="11"/>
        <v/>
      </c>
      <c r="O761" s="34"/>
      <c r="P761" s="34"/>
      <c r="Q761" s="34"/>
      <c r="R761" s="34"/>
      <c r="S761" s="34"/>
      <c r="T761" s="34"/>
      <c r="U761" s="34"/>
      <c r="V761" s="34"/>
    </row>
    <row r="762" spans="1:22">
      <c r="A762" s="35"/>
      <c r="B762" s="3"/>
      <c r="C762" s="35"/>
      <c r="D762" s="34"/>
      <c r="E762" s="34"/>
      <c r="F762" s="35"/>
      <c r="G762" s="35"/>
      <c r="H762" s="3"/>
      <c r="I762" s="35"/>
      <c r="J762" s="35" t="str">
        <f>IF(OR(TRIM(E762)="", TRIM(H762)=""), "", IFERROR(IF(OR(VLOOKUP(E762&amp;"|"&amp;H762&amp;"", DB!$A:$N, 6, FALSE)="", VLOOKUP(E762&amp;"|"&amp;H762&amp;"", DB!$A:$N, 6, FALSE)="-"), "", VLOOKUP(E762&amp;"|"&amp;H762&amp;"", DB!$A:$N, 6, FALSE)), ""))</f>
        <v/>
      </c>
      <c r="K762" s="35"/>
      <c r="L762" s="35"/>
      <c r="M762" s="35"/>
      <c r="N762" s="35" t="str">
        <f t="shared" si="11"/>
        <v/>
      </c>
      <c r="O762" s="34"/>
      <c r="P762" s="34"/>
      <c r="Q762" s="34"/>
      <c r="R762" s="34"/>
      <c r="S762" s="34"/>
      <c r="T762" s="34"/>
      <c r="U762" s="34"/>
      <c r="V762" s="34"/>
    </row>
    <row r="763" spans="1:22">
      <c r="A763" s="35"/>
      <c r="B763" s="3"/>
      <c r="C763" s="35"/>
      <c r="D763" s="34"/>
      <c r="E763" s="34"/>
      <c r="F763" s="35"/>
      <c r="G763" s="35"/>
      <c r="H763" s="3"/>
      <c r="I763" s="35"/>
      <c r="J763" s="35" t="str">
        <f>IF(OR(TRIM(E763)="", TRIM(H763)=""), "", IFERROR(IF(OR(VLOOKUP(E763&amp;"|"&amp;H763&amp;"", DB!$A:$N, 6, FALSE)="", VLOOKUP(E763&amp;"|"&amp;H763&amp;"", DB!$A:$N, 6, FALSE)="-"), "", VLOOKUP(E763&amp;"|"&amp;H763&amp;"", DB!$A:$N, 6, FALSE)), ""))</f>
        <v/>
      </c>
      <c r="K763" s="35"/>
      <c r="L763" s="35"/>
      <c r="M763" s="35"/>
      <c r="N763" s="35" t="str">
        <f t="shared" si="11"/>
        <v/>
      </c>
      <c r="O763" s="34"/>
      <c r="P763" s="34"/>
      <c r="Q763" s="34"/>
      <c r="R763" s="34"/>
      <c r="S763" s="34"/>
      <c r="T763" s="34"/>
      <c r="U763" s="34"/>
      <c r="V763" s="34"/>
    </row>
    <row r="764" spans="1:22">
      <c r="A764" s="35"/>
      <c r="B764" s="3"/>
      <c r="C764" s="35"/>
      <c r="D764" s="34"/>
      <c r="E764" s="34"/>
      <c r="F764" s="35"/>
      <c r="G764" s="35"/>
      <c r="H764" s="3"/>
      <c r="I764" s="35"/>
      <c r="J764" s="35" t="str">
        <f>IF(OR(TRIM(E764)="", TRIM(H764)=""), "", IFERROR(IF(OR(VLOOKUP(E764&amp;"|"&amp;H764&amp;"", DB!$A:$N, 6, FALSE)="", VLOOKUP(E764&amp;"|"&amp;H764&amp;"", DB!$A:$N, 6, FALSE)="-"), "", VLOOKUP(E764&amp;"|"&amp;H764&amp;"", DB!$A:$N, 6, FALSE)), ""))</f>
        <v/>
      </c>
      <c r="K764" s="35"/>
      <c r="L764" s="35"/>
      <c r="M764" s="35"/>
      <c r="N764" s="35" t="str">
        <f t="shared" si="11"/>
        <v/>
      </c>
      <c r="O764" s="34"/>
      <c r="P764" s="34"/>
      <c r="Q764" s="34"/>
      <c r="R764" s="34"/>
      <c r="S764" s="34"/>
      <c r="T764" s="34"/>
      <c r="U764" s="34"/>
      <c r="V764" s="34"/>
    </row>
    <row r="765" spans="1:22">
      <c r="A765" s="35"/>
      <c r="B765" s="3"/>
      <c r="C765" s="35"/>
      <c r="D765" s="34"/>
      <c r="E765" s="34"/>
      <c r="F765" s="35"/>
      <c r="G765" s="35"/>
      <c r="H765" s="3"/>
      <c r="I765" s="35"/>
      <c r="J765" s="35" t="str">
        <f>IF(OR(TRIM(E765)="", TRIM(H765)=""), "", IFERROR(IF(OR(VLOOKUP(E765&amp;"|"&amp;H765&amp;"", DB!$A:$N, 6, FALSE)="", VLOOKUP(E765&amp;"|"&amp;H765&amp;"", DB!$A:$N, 6, FALSE)="-"), "", VLOOKUP(E765&amp;"|"&amp;H765&amp;"", DB!$A:$N, 6, FALSE)), ""))</f>
        <v/>
      </c>
      <c r="K765" s="35"/>
      <c r="L765" s="35"/>
      <c r="M765" s="35"/>
      <c r="N765" s="35" t="str">
        <f t="shared" si="11"/>
        <v/>
      </c>
      <c r="O765" s="34"/>
      <c r="P765" s="34"/>
      <c r="Q765" s="34"/>
      <c r="R765" s="34"/>
      <c r="S765" s="34"/>
      <c r="T765" s="34"/>
      <c r="U765" s="34"/>
      <c r="V765" s="34"/>
    </row>
    <row r="766" spans="1:22">
      <c r="A766" s="35"/>
      <c r="B766" s="3"/>
      <c r="C766" s="35"/>
      <c r="D766" s="34"/>
      <c r="E766" s="34"/>
      <c r="F766" s="35"/>
      <c r="G766" s="35"/>
      <c r="H766" s="3"/>
      <c r="I766" s="35"/>
      <c r="J766" s="35" t="str">
        <f>IF(OR(TRIM(E766)="", TRIM(H766)=""), "", IFERROR(IF(OR(VLOOKUP(E766&amp;"|"&amp;H766&amp;"", DB!$A:$N, 6, FALSE)="", VLOOKUP(E766&amp;"|"&amp;H766&amp;"", DB!$A:$N, 6, FALSE)="-"), "", VLOOKUP(E766&amp;"|"&amp;H766&amp;"", DB!$A:$N, 6, FALSE)), ""))</f>
        <v/>
      </c>
      <c r="K766" s="35"/>
      <c r="L766" s="35"/>
      <c r="M766" s="35"/>
      <c r="N766" s="35" t="str">
        <f t="shared" si="11"/>
        <v/>
      </c>
      <c r="O766" s="34"/>
      <c r="P766" s="34"/>
      <c r="Q766" s="34"/>
      <c r="R766" s="34"/>
      <c r="S766" s="34"/>
      <c r="T766" s="34"/>
      <c r="U766" s="34"/>
      <c r="V766" s="34"/>
    </row>
    <row r="767" spans="1:22">
      <c r="A767" s="35"/>
      <c r="B767" s="3"/>
      <c r="C767" s="35"/>
      <c r="D767" s="34"/>
      <c r="E767" s="34"/>
      <c r="F767" s="35"/>
      <c r="G767" s="35"/>
      <c r="H767" s="3"/>
      <c r="I767" s="35"/>
      <c r="J767" s="35" t="str">
        <f>IF(OR(TRIM(E767)="", TRIM(H767)=""), "", IFERROR(IF(OR(VLOOKUP(E767&amp;"|"&amp;H767&amp;"", DB!$A:$N, 6, FALSE)="", VLOOKUP(E767&amp;"|"&amp;H767&amp;"", DB!$A:$N, 6, FALSE)="-"), "", VLOOKUP(E767&amp;"|"&amp;H767&amp;"", DB!$A:$N, 6, FALSE)), ""))</f>
        <v/>
      </c>
      <c r="K767" s="35"/>
      <c r="L767" s="35"/>
      <c r="M767" s="35"/>
      <c r="N767" s="35" t="str">
        <f t="shared" si="11"/>
        <v/>
      </c>
      <c r="O767" s="34"/>
      <c r="P767" s="34"/>
      <c r="Q767" s="34"/>
      <c r="R767" s="34"/>
      <c r="S767" s="34"/>
      <c r="T767" s="34"/>
      <c r="U767" s="34"/>
      <c r="V767" s="34"/>
    </row>
    <row r="768" spans="1:22">
      <c r="A768" s="35"/>
      <c r="B768" s="3"/>
      <c r="C768" s="35"/>
      <c r="D768" s="34"/>
      <c r="E768" s="34"/>
      <c r="F768" s="35"/>
      <c r="G768" s="35"/>
      <c r="H768" s="3"/>
      <c r="I768" s="35"/>
      <c r="J768" s="35" t="str">
        <f>IF(OR(TRIM(E768)="", TRIM(H768)=""), "", IFERROR(IF(OR(VLOOKUP(E768&amp;"|"&amp;H768&amp;"", DB!$A:$N, 6, FALSE)="", VLOOKUP(E768&amp;"|"&amp;H768&amp;"", DB!$A:$N, 6, FALSE)="-"), "", VLOOKUP(E768&amp;"|"&amp;H768&amp;"", DB!$A:$N, 6, FALSE)), ""))</f>
        <v/>
      </c>
      <c r="K768" s="35"/>
      <c r="L768" s="35"/>
      <c r="M768" s="35"/>
      <c r="N768" s="35" t="str">
        <f t="shared" si="11"/>
        <v/>
      </c>
      <c r="O768" s="34"/>
      <c r="P768" s="34"/>
      <c r="Q768" s="34"/>
      <c r="R768" s="34"/>
      <c r="S768" s="34"/>
      <c r="T768" s="34"/>
      <c r="U768" s="34"/>
      <c r="V768" s="34"/>
    </row>
    <row r="769" spans="1:22">
      <c r="A769" s="35"/>
      <c r="B769" s="3"/>
      <c r="C769" s="35"/>
      <c r="D769" s="34"/>
      <c r="E769" s="34"/>
      <c r="F769" s="35"/>
      <c r="G769" s="35"/>
      <c r="H769" s="3"/>
      <c r="I769" s="35"/>
      <c r="J769" s="35" t="str">
        <f>IF(OR(TRIM(E769)="", TRIM(H769)=""), "", IFERROR(IF(OR(VLOOKUP(E769&amp;"|"&amp;H769&amp;"", DB!$A:$N, 6, FALSE)="", VLOOKUP(E769&amp;"|"&amp;H769&amp;"", DB!$A:$N, 6, FALSE)="-"), "", VLOOKUP(E769&amp;"|"&amp;H769&amp;"", DB!$A:$N, 6, FALSE)), ""))</f>
        <v/>
      </c>
      <c r="K769" s="35"/>
      <c r="L769" s="35"/>
      <c r="M769" s="35"/>
      <c r="N769" s="35" t="str">
        <f t="shared" si="11"/>
        <v/>
      </c>
      <c r="O769" s="34"/>
      <c r="P769" s="34"/>
      <c r="Q769" s="34"/>
      <c r="R769" s="34"/>
      <c r="S769" s="34"/>
      <c r="T769" s="34"/>
      <c r="U769" s="34"/>
      <c r="V769" s="34"/>
    </row>
    <row r="770" spans="1:22">
      <c r="A770" s="35"/>
      <c r="B770" s="3"/>
      <c r="C770" s="35"/>
      <c r="D770" s="34"/>
      <c r="E770" s="34"/>
      <c r="F770" s="35"/>
      <c r="G770" s="35"/>
      <c r="H770" s="3"/>
      <c r="I770" s="35"/>
      <c r="J770" s="35" t="str">
        <f>IF(OR(TRIM(E770)="", TRIM(H770)=""), "", IFERROR(IF(OR(VLOOKUP(E770&amp;"|"&amp;H770&amp;"", DB!$A:$N, 6, FALSE)="", VLOOKUP(E770&amp;"|"&amp;H770&amp;"", DB!$A:$N, 6, FALSE)="-"), "", VLOOKUP(E770&amp;"|"&amp;H770&amp;"", DB!$A:$N, 6, FALSE)), ""))</f>
        <v/>
      </c>
      <c r="K770" s="35"/>
      <c r="L770" s="35"/>
      <c r="M770" s="35"/>
      <c r="N770" s="35" t="str">
        <f t="shared" ref="N770:N833" si="12">IF(TRIM(D770)="", "", IF(N(L770)-N(M770)&lt;=0, "X", N(L770)-N(M770)))</f>
        <v/>
      </c>
      <c r="O770" s="34"/>
      <c r="P770" s="34"/>
      <c r="Q770" s="34"/>
      <c r="R770" s="34"/>
      <c r="S770" s="34"/>
      <c r="T770" s="34"/>
      <c r="U770" s="34"/>
      <c r="V770" s="34"/>
    </row>
    <row r="771" spans="1:22">
      <c r="A771" s="35"/>
      <c r="B771" s="3"/>
      <c r="C771" s="35"/>
      <c r="D771" s="34"/>
      <c r="E771" s="34"/>
      <c r="F771" s="35"/>
      <c r="G771" s="35"/>
      <c r="H771" s="3"/>
      <c r="I771" s="35"/>
      <c r="J771" s="35" t="str">
        <f>IF(OR(TRIM(E771)="", TRIM(H771)=""), "", IFERROR(IF(OR(VLOOKUP(E771&amp;"|"&amp;H771&amp;"", DB!$A:$N, 6, FALSE)="", VLOOKUP(E771&amp;"|"&amp;H771&amp;"", DB!$A:$N, 6, FALSE)="-"), "", VLOOKUP(E771&amp;"|"&amp;H771&amp;"", DB!$A:$N, 6, FALSE)), ""))</f>
        <v/>
      </c>
      <c r="K771" s="35"/>
      <c r="L771" s="35"/>
      <c r="M771" s="35"/>
      <c r="N771" s="35" t="str">
        <f t="shared" si="12"/>
        <v/>
      </c>
      <c r="O771" s="34"/>
      <c r="P771" s="34"/>
      <c r="Q771" s="34"/>
      <c r="R771" s="34"/>
      <c r="S771" s="34"/>
      <c r="T771" s="34"/>
      <c r="U771" s="34"/>
      <c r="V771" s="34"/>
    </row>
    <row r="772" spans="1:22">
      <c r="A772" s="35"/>
      <c r="B772" s="3"/>
      <c r="C772" s="35"/>
      <c r="D772" s="34"/>
      <c r="E772" s="34"/>
      <c r="F772" s="35"/>
      <c r="G772" s="35"/>
      <c r="H772" s="3"/>
      <c r="I772" s="35"/>
      <c r="J772" s="35" t="str">
        <f>IF(OR(TRIM(E772)="", TRIM(H772)=""), "", IFERROR(IF(OR(VLOOKUP(E772&amp;"|"&amp;H772&amp;"", DB!$A:$N, 6, FALSE)="", VLOOKUP(E772&amp;"|"&amp;H772&amp;"", DB!$A:$N, 6, FALSE)="-"), "", VLOOKUP(E772&amp;"|"&amp;H772&amp;"", DB!$A:$N, 6, FALSE)), ""))</f>
        <v/>
      </c>
      <c r="K772" s="35"/>
      <c r="L772" s="35"/>
      <c r="M772" s="35"/>
      <c r="N772" s="35" t="str">
        <f t="shared" si="12"/>
        <v/>
      </c>
      <c r="O772" s="34"/>
      <c r="P772" s="34"/>
      <c r="Q772" s="34"/>
      <c r="R772" s="34"/>
      <c r="S772" s="34"/>
      <c r="T772" s="34"/>
      <c r="U772" s="34"/>
      <c r="V772" s="34"/>
    </row>
    <row r="773" spans="1:22">
      <c r="A773" s="35"/>
      <c r="B773" s="3"/>
      <c r="C773" s="35"/>
      <c r="D773" s="34"/>
      <c r="E773" s="34"/>
      <c r="F773" s="35"/>
      <c r="G773" s="35"/>
      <c r="H773" s="3"/>
      <c r="I773" s="35"/>
      <c r="J773" s="35" t="str">
        <f>IF(OR(TRIM(E773)="", TRIM(H773)=""), "", IFERROR(IF(OR(VLOOKUP(E773&amp;"|"&amp;H773&amp;"", DB!$A:$N, 6, FALSE)="", VLOOKUP(E773&amp;"|"&amp;H773&amp;"", DB!$A:$N, 6, FALSE)="-"), "", VLOOKUP(E773&amp;"|"&amp;H773&amp;"", DB!$A:$N, 6, FALSE)), ""))</f>
        <v/>
      </c>
      <c r="K773" s="35"/>
      <c r="L773" s="35"/>
      <c r="M773" s="35"/>
      <c r="N773" s="35" t="str">
        <f t="shared" si="12"/>
        <v/>
      </c>
      <c r="O773" s="34"/>
      <c r="P773" s="34"/>
      <c r="Q773" s="34"/>
      <c r="R773" s="34"/>
      <c r="S773" s="34"/>
      <c r="T773" s="34"/>
      <c r="U773" s="34"/>
      <c r="V773" s="34"/>
    </row>
    <row r="774" spans="1:22">
      <c r="A774" s="35"/>
      <c r="B774" s="3"/>
      <c r="C774" s="35"/>
      <c r="D774" s="34"/>
      <c r="E774" s="34"/>
      <c r="F774" s="35"/>
      <c r="G774" s="35"/>
      <c r="H774" s="3"/>
      <c r="I774" s="35"/>
      <c r="J774" s="35" t="str">
        <f>IF(OR(TRIM(E774)="", TRIM(H774)=""), "", IFERROR(IF(OR(VLOOKUP(E774&amp;"|"&amp;H774&amp;"", DB!$A:$N, 6, FALSE)="", VLOOKUP(E774&amp;"|"&amp;H774&amp;"", DB!$A:$N, 6, FALSE)="-"), "", VLOOKUP(E774&amp;"|"&amp;H774&amp;"", DB!$A:$N, 6, FALSE)), ""))</f>
        <v/>
      </c>
      <c r="K774" s="35"/>
      <c r="L774" s="35"/>
      <c r="M774" s="35"/>
      <c r="N774" s="35" t="str">
        <f t="shared" si="12"/>
        <v/>
      </c>
      <c r="O774" s="34"/>
      <c r="P774" s="34"/>
      <c r="Q774" s="34"/>
      <c r="R774" s="34"/>
      <c r="S774" s="34"/>
      <c r="T774" s="34"/>
      <c r="U774" s="34"/>
      <c r="V774" s="34"/>
    </row>
    <row r="775" spans="1:22">
      <c r="A775" s="35"/>
      <c r="B775" s="3"/>
      <c r="C775" s="35"/>
      <c r="D775" s="34"/>
      <c r="E775" s="34"/>
      <c r="F775" s="35"/>
      <c r="G775" s="35"/>
      <c r="H775" s="3"/>
      <c r="I775" s="35"/>
      <c r="J775" s="35" t="str">
        <f>IF(OR(TRIM(E775)="", TRIM(H775)=""), "", IFERROR(IF(OR(VLOOKUP(E775&amp;"|"&amp;H775&amp;"", DB!$A:$N, 6, FALSE)="", VLOOKUP(E775&amp;"|"&amp;H775&amp;"", DB!$A:$N, 6, FALSE)="-"), "", VLOOKUP(E775&amp;"|"&amp;H775&amp;"", DB!$A:$N, 6, FALSE)), ""))</f>
        <v/>
      </c>
      <c r="K775" s="35"/>
      <c r="L775" s="35"/>
      <c r="M775" s="35"/>
      <c r="N775" s="35" t="str">
        <f t="shared" si="12"/>
        <v/>
      </c>
      <c r="O775" s="34"/>
      <c r="P775" s="34"/>
      <c r="Q775" s="34"/>
      <c r="R775" s="34"/>
      <c r="S775" s="34"/>
      <c r="T775" s="34"/>
      <c r="U775" s="34"/>
      <c r="V775" s="34"/>
    </row>
    <row r="776" spans="1:22">
      <c r="A776" s="35"/>
      <c r="B776" s="3"/>
      <c r="C776" s="35"/>
      <c r="D776" s="34"/>
      <c r="E776" s="34"/>
      <c r="F776" s="35"/>
      <c r="G776" s="35"/>
      <c r="H776" s="3"/>
      <c r="I776" s="35"/>
      <c r="J776" s="35" t="str">
        <f>IF(OR(TRIM(E776)="", TRIM(H776)=""), "", IFERROR(IF(OR(VLOOKUP(E776&amp;"|"&amp;H776&amp;"", DB!$A:$N, 6, FALSE)="", VLOOKUP(E776&amp;"|"&amp;H776&amp;"", DB!$A:$N, 6, FALSE)="-"), "", VLOOKUP(E776&amp;"|"&amp;H776&amp;"", DB!$A:$N, 6, FALSE)), ""))</f>
        <v/>
      </c>
      <c r="K776" s="35"/>
      <c r="L776" s="35"/>
      <c r="M776" s="35"/>
      <c r="N776" s="35" t="str">
        <f t="shared" si="12"/>
        <v/>
      </c>
      <c r="O776" s="34"/>
      <c r="P776" s="34"/>
      <c r="Q776" s="34"/>
      <c r="R776" s="34"/>
      <c r="S776" s="34"/>
      <c r="T776" s="34"/>
      <c r="U776" s="34"/>
      <c r="V776" s="34"/>
    </row>
    <row r="777" spans="1:22">
      <c r="A777" s="35"/>
      <c r="B777" s="3"/>
      <c r="C777" s="35"/>
      <c r="D777" s="34"/>
      <c r="E777" s="34"/>
      <c r="F777" s="35"/>
      <c r="G777" s="35"/>
      <c r="H777" s="3"/>
      <c r="I777" s="35"/>
      <c r="J777" s="35" t="str">
        <f>IF(OR(TRIM(E777)="", TRIM(H777)=""), "", IFERROR(IF(OR(VLOOKUP(E777&amp;"|"&amp;H777&amp;"", DB!$A:$N, 6, FALSE)="", VLOOKUP(E777&amp;"|"&amp;H777&amp;"", DB!$A:$N, 6, FALSE)="-"), "", VLOOKUP(E777&amp;"|"&amp;H777&amp;"", DB!$A:$N, 6, FALSE)), ""))</f>
        <v/>
      </c>
      <c r="K777" s="35"/>
      <c r="L777" s="35"/>
      <c r="M777" s="35"/>
      <c r="N777" s="35" t="str">
        <f t="shared" si="12"/>
        <v/>
      </c>
      <c r="O777" s="34"/>
      <c r="P777" s="34"/>
      <c r="Q777" s="34"/>
      <c r="R777" s="34"/>
      <c r="S777" s="34"/>
      <c r="T777" s="34"/>
      <c r="U777" s="34"/>
      <c r="V777" s="34"/>
    </row>
    <row r="778" spans="1:22">
      <c r="A778" s="35"/>
      <c r="B778" s="3"/>
      <c r="C778" s="35"/>
      <c r="D778" s="34"/>
      <c r="E778" s="34"/>
      <c r="F778" s="35"/>
      <c r="G778" s="35"/>
      <c r="H778" s="3"/>
      <c r="I778" s="35"/>
      <c r="J778" s="35" t="str">
        <f>IF(OR(TRIM(E778)="", TRIM(H778)=""), "", IFERROR(IF(OR(VLOOKUP(E778&amp;"|"&amp;H778&amp;"", DB!$A:$N, 6, FALSE)="", VLOOKUP(E778&amp;"|"&amp;H778&amp;"", DB!$A:$N, 6, FALSE)="-"), "", VLOOKUP(E778&amp;"|"&amp;H778&amp;"", DB!$A:$N, 6, FALSE)), ""))</f>
        <v/>
      </c>
      <c r="K778" s="35"/>
      <c r="L778" s="35"/>
      <c r="M778" s="35"/>
      <c r="N778" s="35" t="str">
        <f t="shared" si="12"/>
        <v/>
      </c>
      <c r="O778" s="34"/>
      <c r="P778" s="34"/>
      <c r="Q778" s="34"/>
      <c r="R778" s="34"/>
      <c r="S778" s="34"/>
      <c r="T778" s="34"/>
      <c r="U778" s="34"/>
      <c r="V778" s="34"/>
    </row>
    <row r="779" spans="1:22">
      <c r="A779" s="35"/>
      <c r="B779" s="3"/>
      <c r="C779" s="35"/>
      <c r="D779" s="34"/>
      <c r="E779" s="34"/>
      <c r="F779" s="35"/>
      <c r="G779" s="35"/>
      <c r="H779" s="3"/>
      <c r="I779" s="35"/>
      <c r="J779" s="35" t="str">
        <f>IF(OR(TRIM(E779)="", TRIM(H779)=""), "", IFERROR(IF(OR(VLOOKUP(E779&amp;"|"&amp;H779&amp;"", DB!$A:$N, 6, FALSE)="", VLOOKUP(E779&amp;"|"&amp;H779&amp;"", DB!$A:$N, 6, FALSE)="-"), "", VLOOKUP(E779&amp;"|"&amp;H779&amp;"", DB!$A:$N, 6, FALSE)), ""))</f>
        <v/>
      </c>
      <c r="K779" s="35"/>
      <c r="L779" s="35"/>
      <c r="M779" s="35"/>
      <c r="N779" s="35" t="str">
        <f t="shared" si="12"/>
        <v/>
      </c>
      <c r="O779" s="34"/>
      <c r="P779" s="34"/>
      <c r="Q779" s="34"/>
      <c r="R779" s="34"/>
      <c r="S779" s="34"/>
      <c r="T779" s="34"/>
      <c r="U779" s="34"/>
      <c r="V779" s="34"/>
    </row>
    <row r="780" spans="1:22">
      <c r="A780" s="35"/>
      <c r="B780" s="3"/>
      <c r="C780" s="35"/>
      <c r="D780" s="34"/>
      <c r="E780" s="34"/>
      <c r="F780" s="35"/>
      <c r="G780" s="35"/>
      <c r="H780" s="3"/>
      <c r="I780" s="35"/>
      <c r="J780" s="35" t="str">
        <f>IF(OR(TRIM(E780)="", TRIM(H780)=""), "", IFERROR(IF(OR(VLOOKUP(E780&amp;"|"&amp;H780&amp;"", DB!$A:$N, 6, FALSE)="", VLOOKUP(E780&amp;"|"&amp;H780&amp;"", DB!$A:$N, 6, FALSE)="-"), "", VLOOKUP(E780&amp;"|"&amp;H780&amp;"", DB!$A:$N, 6, FALSE)), ""))</f>
        <v/>
      </c>
      <c r="K780" s="35"/>
      <c r="L780" s="35"/>
      <c r="M780" s="35"/>
      <c r="N780" s="35" t="str">
        <f t="shared" si="12"/>
        <v/>
      </c>
      <c r="O780" s="34"/>
      <c r="P780" s="34"/>
      <c r="Q780" s="34"/>
      <c r="R780" s="34"/>
      <c r="S780" s="34"/>
      <c r="T780" s="34"/>
      <c r="U780" s="34"/>
      <c r="V780" s="34"/>
    </row>
    <row r="781" spans="1:22">
      <c r="A781" s="35"/>
      <c r="B781" s="3"/>
      <c r="C781" s="35"/>
      <c r="D781" s="34"/>
      <c r="E781" s="34"/>
      <c r="F781" s="35"/>
      <c r="G781" s="35"/>
      <c r="H781" s="3"/>
      <c r="I781" s="35"/>
      <c r="J781" s="35" t="str">
        <f>IF(OR(TRIM(E781)="", TRIM(H781)=""), "", IFERROR(IF(OR(VLOOKUP(E781&amp;"|"&amp;H781&amp;"", DB!$A:$N, 6, FALSE)="", VLOOKUP(E781&amp;"|"&amp;H781&amp;"", DB!$A:$N, 6, FALSE)="-"), "", VLOOKUP(E781&amp;"|"&amp;H781&amp;"", DB!$A:$N, 6, FALSE)), ""))</f>
        <v/>
      </c>
      <c r="K781" s="35"/>
      <c r="L781" s="35"/>
      <c r="M781" s="35"/>
      <c r="N781" s="35" t="str">
        <f t="shared" si="12"/>
        <v/>
      </c>
      <c r="O781" s="34"/>
      <c r="P781" s="34"/>
      <c r="Q781" s="34"/>
      <c r="R781" s="34"/>
      <c r="S781" s="34"/>
      <c r="T781" s="34"/>
      <c r="U781" s="34"/>
      <c r="V781" s="34"/>
    </row>
    <row r="782" spans="1:22">
      <c r="A782" s="35"/>
      <c r="B782" s="3"/>
      <c r="C782" s="35"/>
      <c r="D782" s="34"/>
      <c r="E782" s="34"/>
      <c r="F782" s="35"/>
      <c r="G782" s="35"/>
      <c r="H782" s="3"/>
      <c r="I782" s="35"/>
      <c r="J782" s="35" t="str">
        <f>IF(OR(TRIM(E782)="", TRIM(H782)=""), "", IFERROR(IF(OR(VLOOKUP(E782&amp;"|"&amp;H782&amp;"", DB!$A:$N, 6, FALSE)="", VLOOKUP(E782&amp;"|"&amp;H782&amp;"", DB!$A:$N, 6, FALSE)="-"), "", VLOOKUP(E782&amp;"|"&amp;H782&amp;"", DB!$A:$N, 6, FALSE)), ""))</f>
        <v/>
      </c>
      <c r="K782" s="35"/>
      <c r="L782" s="35"/>
      <c r="M782" s="35"/>
      <c r="N782" s="35" t="str">
        <f t="shared" si="12"/>
        <v/>
      </c>
      <c r="O782" s="34"/>
      <c r="P782" s="34"/>
      <c r="Q782" s="34"/>
      <c r="R782" s="34"/>
      <c r="S782" s="34"/>
      <c r="T782" s="34"/>
      <c r="U782" s="34"/>
      <c r="V782" s="34"/>
    </row>
    <row r="783" spans="1:22">
      <c r="A783" s="35"/>
      <c r="B783" s="3"/>
      <c r="C783" s="35"/>
      <c r="D783" s="34"/>
      <c r="E783" s="34"/>
      <c r="F783" s="35"/>
      <c r="G783" s="35"/>
      <c r="H783" s="3"/>
      <c r="I783" s="35"/>
      <c r="J783" s="35" t="str">
        <f>IF(OR(TRIM(E783)="", TRIM(H783)=""), "", IFERROR(IF(OR(VLOOKUP(E783&amp;"|"&amp;H783&amp;"", DB!$A:$N, 6, FALSE)="", VLOOKUP(E783&amp;"|"&amp;H783&amp;"", DB!$A:$N, 6, FALSE)="-"), "", VLOOKUP(E783&amp;"|"&amp;H783&amp;"", DB!$A:$N, 6, FALSE)), ""))</f>
        <v/>
      </c>
      <c r="K783" s="35"/>
      <c r="L783" s="35"/>
      <c r="M783" s="35"/>
      <c r="N783" s="35" t="str">
        <f t="shared" si="12"/>
        <v/>
      </c>
      <c r="O783" s="34"/>
      <c r="P783" s="34"/>
      <c r="Q783" s="34"/>
      <c r="R783" s="34"/>
      <c r="S783" s="34"/>
      <c r="T783" s="34"/>
      <c r="U783" s="34"/>
      <c r="V783" s="34"/>
    </row>
    <row r="784" spans="1:22">
      <c r="A784" s="35"/>
      <c r="B784" s="3"/>
      <c r="C784" s="35"/>
      <c r="D784" s="34"/>
      <c r="E784" s="34"/>
      <c r="F784" s="35"/>
      <c r="G784" s="35"/>
      <c r="H784" s="3"/>
      <c r="I784" s="35"/>
      <c r="J784" s="35" t="str">
        <f>IF(OR(TRIM(E784)="", TRIM(H784)=""), "", IFERROR(IF(OR(VLOOKUP(E784&amp;"|"&amp;H784&amp;"", DB!$A:$N, 6, FALSE)="", VLOOKUP(E784&amp;"|"&amp;H784&amp;"", DB!$A:$N, 6, FALSE)="-"), "", VLOOKUP(E784&amp;"|"&amp;H784&amp;"", DB!$A:$N, 6, FALSE)), ""))</f>
        <v/>
      </c>
      <c r="K784" s="35"/>
      <c r="L784" s="35"/>
      <c r="M784" s="35"/>
      <c r="N784" s="35" t="str">
        <f t="shared" si="12"/>
        <v/>
      </c>
      <c r="O784" s="34"/>
      <c r="P784" s="34"/>
      <c r="Q784" s="34"/>
      <c r="R784" s="34"/>
      <c r="S784" s="34"/>
      <c r="T784" s="34"/>
      <c r="U784" s="34"/>
      <c r="V784" s="34"/>
    </row>
    <row r="785" spans="1:22">
      <c r="A785" s="35"/>
      <c r="B785" s="3"/>
      <c r="C785" s="35"/>
      <c r="D785" s="34"/>
      <c r="E785" s="34"/>
      <c r="F785" s="35"/>
      <c r="G785" s="35"/>
      <c r="H785" s="3"/>
      <c r="I785" s="35"/>
      <c r="J785" s="35" t="str">
        <f>IF(OR(TRIM(E785)="", TRIM(H785)=""), "", IFERROR(IF(OR(VLOOKUP(E785&amp;"|"&amp;H785&amp;"", DB!$A:$N, 6, FALSE)="", VLOOKUP(E785&amp;"|"&amp;H785&amp;"", DB!$A:$N, 6, FALSE)="-"), "", VLOOKUP(E785&amp;"|"&amp;H785&amp;"", DB!$A:$N, 6, FALSE)), ""))</f>
        <v/>
      </c>
      <c r="K785" s="35"/>
      <c r="L785" s="35"/>
      <c r="M785" s="35"/>
      <c r="N785" s="35" t="str">
        <f t="shared" si="12"/>
        <v/>
      </c>
      <c r="O785" s="34"/>
      <c r="P785" s="34"/>
      <c r="Q785" s="34"/>
      <c r="R785" s="34"/>
      <c r="S785" s="34"/>
      <c r="T785" s="34"/>
      <c r="U785" s="34"/>
      <c r="V785" s="34"/>
    </row>
    <row r="786" spans="1:22">
      <c r="A786" s="35"/>
      <c r="B786" s="3"/>
      <c r="C786" s="35"/>
      <c r="D786" s="34"/>
      <c r="E786" s="34"/>
      <c r="F786" s="35"/>
      <c r="G786" s="35"/>
      <c r="H786" s="3"/>
      <c r="I786" s="35"/>
      <c r="J786" s="35" t="str">
        <f>IF(OR(TRIM(E786)="", TRIM(H786)=""), "", IFERROR(IF(OR(VLOOKUP(E786&amp;"|"&amp;H786&amp;"", DB!$A:$N, 6, FALSE)="", VLOOKUP(E786&amp;"|"&amp;H786&amp;"", DB!$A:$N, 6, FALSE)="-"), "", VLOOKUP(E786&amp;"|"&amp;H786&amp;"", DB!$A:$N, 6, FALSE)), ""))</f>
        <v/>
      </c>
      <c r="K786" s="35"/>
      <c r="L786" s="35"/>
      <c r="M786" s="35"/>
      <c r="N786" s="35" t="str">
        <f t="shared" si="12"/>
        <v/>
      </c>
      <c r="O786" s="34"/>
      <c r="P786" s="34"/>
      <c r="Q786" s="34"/>
      <c r="R786" s="34"/>
      <c r="S786" s="34"/>
      <c r="T786" s="34"/>
      <c r="U786" s="34"/>
      <c r="V786" s="34"/>
    </row>
    <row r="787" spans="1:22">
      <c r="A787" s="35"/>
      <c r="B787" s="3"/>
      <c r="C787" s="35"/>
      <c r="D787" s="34"/>
      <c r="E787" s="34"/>
      <c r="F787" s="35"/>
      <c r="G787" s="35"/>
      <c r="H787" s="3"/>
      <c r="I787" s="35"/>
      <c r="J787" s="35" t="str">
        <f>IF(OR(TRIM(E787)="", TRIM(H787)=""), "", IFERROR(IF(OR(VLOOKUP(E787&amp;"|"&amp;H787&amp;"", DB!$A:$N, 6, FALSE)="", VLOOKUP(E787&amp;"|"&amp;H787&amp;"", DB!$A:$N, 6, FALSE)="-"), "", VLOOKUP(E787&amp;"|"&amp;H787&amp;"", DB!$A:$N, 6, FALSE)), ""))</f>
        <v/>
      </c>
      <c r="K787" s="35"/>
      <c r="L787" s="35"/>
      <c r="M787" s="35"/>
      <c r="N787" s="35" t="str">
        <f t="shared" si="12"/>
        <v/>
      </c>
      <c r="O787" s="34"/>
      <c r="P787" s="34"/>
      <c r="Q787" s="34"/>
      <c r="R787" s="34"/>
      <c r="S787" s="34"/>
      <c r="T787" s="34"/>
      <c r="U787" s="34"/>
      <c r="V787" s="34"/>
    </row>
    <row r="788" spans="1:22">
      <c r="A788" s="35"/>
      <c r="B788" s="3"/>
      <c r="C788" s="35"/>
      <c r="D788" s="34"/>
      <c r="E788" s="34"/>
      <c r="F788" s="35"/>
      <c r="G788" s="35"/>
      <c r="H788" s="3"/>
      <c r="I788" s="35"/>
      <c r="J788" s="35" t="str">
        <f>IF(OR(TRIM(E788)="", TRIM(H788)=""), "", IFERROR(IF(OR(VLOOKUP(E788&amp;"|"&amp;H788&amp;"", DB!$A:$N, 6, FALSE)="", VLOOKUP(E788&amp;"|"&amp;H788&amp;"", DB!$A:$N, 6, FALSE)="-"), "", VLOOKUP(E788&amp;"|"&amp;H788&amp;"", DB!$A:$N, 6, FALSE)), ""))</f>
        <v/>
      </c>
      <c r="K788" s="35"/>
      <c r="L788" s="35"/>
      <c r="M788" s="35"/>
      <c r="N788" s="35" t="str">
        <f t="shared" si="12"/>
        <v/>
      </c>
      <c r="O788" s="34"/>
      <c r="P788" s="34"/>
      <c r="Q788" s="34"/>
      <c r="R788" s="34"/>
      <c r="S788" s="34"/>
      <c r="T788" s="34"/>
      <c r="U788" s="34"/>
      <c r="V788" s="34"/>
    </row>
    <row r="789" spans="1:22">
      <c r="A789" s="35"/>
      <c r="B789" s="3"/>
      <c r="C789" s="35"/>
      <c r="D789" s="34"/>
      <c r="E789" s="34"/>
      <c r="F789" s="35"/>
      <c r="G789" s="35"/>
      <c r="H789" s="3"/>
      <c r="I789" s="35"/>
      <c r="J789" s="35" t="str">
        <f>IF(OR(TRIM(E789)="", TRIM(H789)=""), "", IFERROR(IF(OR(VLOOKUP(E789&amp;"|"&amp;H789&amp;"", DB!$A:$N, 6, FALSE)="", VLOOKUP(E789&amp;"|"&amp;H789&amp;"", DB!$A:$N, 6, FALSE)="-"), "", VLOOKUP(E789&amp;"|"&amp;H789&amp;"", DB!$A:$N, 6, FALSE)), ""))</f>
        <v/>
      </c>
      <c r="K789" s="35"/>
      <c r="L789" s="35"/>
      <c r="M789" s="35"/>
      <c r="N789" s="35" t="str">
        <f t="shared" si="12"/>
        <v/>
      </c>
      <c r="O789" s="34"/>
      <c r="P789" s="34"/>
      <c r="Q789" s="34"/>
      <c r="R789" s="34"/>
      <c r="S789" s="34"/>
      <c r="T789" s="34"/>
      <c r="U789" s="34"/>
      <c r="V789" s="34"/>
    </row>
    <row r="790" spans="1:22">
      <c r="A790" s="35"/>
      <c r="B790" s="3"/>
      <c r="C790" s="35"/>
      <c r="D790" s="34"/>
      <c r="E790" s="34"/>
      <c r="F790" s="35"/>
      <c r="G790" s="35"/>
      <c r="H790" s="3"/>
      <c r="I790" s="35"/>
      <c r="J790" s="35" t="str">
        <f>IF(OR(TRIM(E790)="", TRIM(H790)=""), "", IFERROR(IF(OR(VLOOKUP(E790&amp;"|"&amp;H790&amp;"", DB!$A:$N, 6, FALSE)="", VLOOKUP(E790&amp;"|"&amp;H790&amp;"", DB!$A:$N, 6, FALSE)="-"), "", VLOOKUP(E790&amp;"|"&amp;H790&amp;"", DB!$A:$N, 6, FALSE)), ""))</f>
        <v/>
      </c>
      <c r="K790" s="35"/>
      <c r="L790" s="35"/>
      <c r="M790" s="35"/>
      <c r="N790" s="35" t="str">
        <f t="shared" si="12"/>
        <v/>
      </c>
      <c r="O790" s="34"/>
      <c r="P790" s="34"/>
      <c r="Q790" s="34"/>
      <c r="R790" s="34"/>
      <c r="S790" s="34"/>
      <c r="T790" s="34"/>
      <c r="U790" s="34"/>
      <c r="V790" s="34"/>
    </row>
    <row r="791" spans="1:22">
      <c r="A791" s="35"/>
      <c r="B791" s="3"/>
      <c r="C791" s="35"/>
      <c r="D791" s="34"/>
      <c r="E791" s="34"/>
      <c r="F791" s="35"/>
      <c r="G791" s="35"/>
      <c r="H791" s="3"/>
      <c r="I791" s="35"/>
      <c r="J791" s="35" t="str">
        <f>IF(OR(TRIM(E791)="", TRIM(H791)=""), "", IFERROR(IF(OR(VLOOKUP(E791&amp;"|"&amp;H791&amp;"", DB!$A:$N, 6, FALSE)="", VLOOKUP(E791&amp;"|"&amp;H791&amp;"", DB!$A:$N, 6, FALSE)="-"), "", VLOOKUP(E791&amp;"|"&amp;H791&amp;"", DB!$A:$N, 6, FALSE)), ""))</f>
        <v/>
      </c>
      <c r="K791" s="35"/>
      <c r="L791" s="35"/>
      <c r="M791" s="35"/>
      <c r="N791" s="35" t="str">
        <f t="shared" si="12"/>
        <v/>
      </c>
      <c r="O791" s="34"/>
      <c r="P791" s="34"/>
      <c r="Q791" s="34"/>
      <c r="R791" s="34"/>
      <c r="S791" s="34"/>
      <c r="T791" s="34"/>
      <c r="U791" s="34"/>
      <c r="V791" s="34"/>
    </row>
    <row r="792" spans="1:22">
      <c r="A792" s="35"/>
      <c r="B792" s="3"/>
      <c r="C792" s="35"/>
      <c r="D792" s="34"/>
      <c r="E792" s="34"/>
      <c r="F792" s="35"/>
      <c r="G792" s="35"/>
      <c r="H792" s="3"/>
      <c r="I792" s="35"/>
      <c r="J792" s="35" t="str">
        <f>IF(OR(TRIM(E792)="", TRIM(H792)=""), "", IFERROR(IF(OR(VLOOKUP(E792&amp;"|"&amp;H792&amp;"", DB!$A:$N, 6, FALSE)="", VLOOKUP(E792&amp;"|"&amp;H792&amp;"", DB!$A:$N, 6, FALSE)="-"), "", VLOOKUP(E792&amp;"|"&amp;H792&amp;"", DB!$A:$N, 6, FALSE)), ""))</f>
        <v/>
      </c>
      <c r="K792" s="35"/>
      <c r="L792" s="35"/>
      <c r="M792" s="35"/>
      <c r="N792" s="35" t="str">
        <f t="shared" si="12"/>
        <v/>
      </c>
      <c r="O792" s="34"/>
      <c r="P792" s="34"/>
      <c r="Q792" s="34"/>
      <c r="R792" s="34"/>
      <c r="S792" s="34"/>
      <c r="T792" s="34"/>
      <c r="U792" s="34"/>
      <c r="V792" s="34"/>
    </row>
    <row r="793" spans="1:22">
      <c r="A793" s="35"/>
      <c r="B793" s="3"/>
      <c r="C793" s="35"/>
      <c r="D793" s="34"/>
      <c r="E793" s="34"/>
      <c r="F793" s="35"/>
      <c r="G793" s="35"/>
      <c r="H793" s="3"/>
      <c r="I793" s="35"/>
      <c r="J793" s="35" t="str">
        <f>IF(OR(TRIM(E793)="", TRIM(H793)=""), "", IFERROR(IF(OR(VLOOKUP(E793&amp;"|"&amp;H793&amp;"", DB!$A:$N, 6, FALSE)="", VLOOKUP(E793&amp;"|"&amp;H793&amp;"", DB!$A:$N, 6, FALSE)="-"), "", VLOOKUP(E793&amp;"|"&amp;H793&amp;"", DB!$A:$N, 6, FALSE)), ""))</f>
        <v/>
      </c>
      <c r="K793" s="35"/>
      <c r="L793" s="35"/>
      <c r="M793" s="35"/>
      <c r="N793" s="35" t="str">
        <f t="shared" si="12"/>
        <v/>
      </c>
      <c r="O793" s="34"/>
      <c r="P793" s="34"/>
      <c r="Q793" s="34"/>
      <c r="R793" s="34"/>
      <c r="S793" s="34"/>
      <c r="T793" s="34"/>
      <c r="U793" s="34"/>
      <c r="V793" s="34"/>
    </row>
    <row r="794" spans="1:22">
      <c r="A794" s="35"/>
      <c r="B794" s="3"/>
      <c r="C794" s="35"/>
      <c r="D794" s="34"/>
      <c r="E794" s="34"/>
      <c r="F794" s="35"/>
      <c r="G794" s="35"/>
      <c r="H794" s="3"/>
      <c r="I794" s="35"/>
      <c r="J794" s="35" t="str">
        <f>IF(OR(TRIM(E794)="", TRIM(H794)=""), "", IFERROR(IF(OR(VLOOKUP(E794&amp;"|"&amp;H794&amp;"", DB!$A:$N, 6, FALSE)="", VLOOKUP(E794&amp;"|"&amp;H794&amp;"", DB!$A:$N, 6, FALSE)="-"), "", VLOOKUP(E794&amp;"|"&amp;H794&amp;"", DB!$A:$N, 6, FALSE)), ""))</f>
        <v/>
      </c>
      <c r="K794" s="35"/>
      <c r="L794" s="35"/>
      <c r="M794" s="35"/>
      <c r="N794" s="35" t="str">
        <f t="shared" si="12"/>
        <v/>
      </c>
      <c r="O794" s="34"/>
      <c r="P794" s="34"/>
      <c r="Q794" s="34"/>
      <c r="R794" s="34"/>
      <c r="S794" s="34"/>
      <c r="T794" s="34"/>
      <c r="U794" s="34"/>
      <c r="V794" s="34"/>
    </row>
    <row r="795" spans="1:22">
      <c r="A795" s="35"/>
      <c r="B795" s="3"/>
      <c r="C795" s="35"/>
      <c r="D795" s="34"/>
      <c r="E795" s="34"/>
      <c r="F795" s="35"/>
      <c r="G795" s="35"/>
      <c r="H795" s="3"/>
      <c r="I795" s="35"/>
      <c r="J795" s="35" t="str">
        <f>IF(OR(TRIM(E795)="", TRIM(H795)=""), "", IFERROR(IF(OR(VLOOKUP(E795&amp;"|"&amp;H795&amp;"", DB!$A:$N, 6, FALSE)="", VLOOKUP(E795&amp;"|"&amp;H795&amp;"", DB!$A:$N, 6, FALSE)="-"), "", VLOOKUP(E795&amp;"|"&amp;H795&amp;"", DB!$A:$N, 6, FALSE)), ""))</f>
        <v/>
      </c>
      <c r="K795" s="35"/>
      <c r="L795" s="35"/>
      <c r="M795" s="35"/>
      <c r="N795" s="35" t="str">
        <f t="shared" si="12"/>
        <v/>
      </c>
      <c r="O795" s="34"/>
      <c r="P795" s="34"/>
      <c r="Q795" s="34"/>
      <c r="R795" s="34"/>
      <c r="S795" s="34"/>
      <c r="T795" s="34"/>
      <c r="U795" s="34"/>
      <c r="V795" s="34"/>
    </row>
    <row r="796" spans="1:22">
      <c r="A796" s="35"/>
      <c r="B796" s="3"/>
      <c r="C796" s="35"/>
      <c r="D796" s="34"/>
      <c r="E796" s="34"/>
      <c r="F796" s="35"/>
      <c r="G796" s="35"/>
      <c r="H796" s="3"/>
      <c r="I796" s="35"/>
      <c r="J796" s="35" t="str">
        <f>IF(OR(TRIM(E796)="", TRIM(H796)=""), "", IFERROR(IF(OR(VLOOKUP(E796&amp;"|"&amp;H796&amp;"", DB!$A:$N, 6, FALSE)="", VLOOKUP(E796&amp;"|"&amp;H796&amp;"", DB!$A:$N, 6, FALSE)="-"), "", VLOOKUP(E796&amp;"|"&amp;H796&amp;"", DB!$A:$N, 6, FALSE)), ""))</f>
        <v/>
      </c>
      <c r="K796" s="35"/>
      <c r="L796" s="35"/>
      <c r="M796" s="35"/>
      <c r="N796" s="35" t="str">
        <f t="shared" si="12"/>
        <v/>
      </c>
      <c r="O796" s="34"/>
      <c r="P796" s="34"/>
      <c r="Q796" s="34"/>
      <c r="R796" s="34"/>
      <c r="S796" s="34"/>
      <c r="T796" s="34"/>
      <c r="U796" s="34"/>
      <c r="V796" s="34"/>
    </row>
    <row r="797" spans="1:22">
      <c r="A797" s="35"/>
      <c r="B797" s="3"/>
      <c r="C797" s="35"/>
      <c r="D797" s="34"/>
      <c r="E797" s="34"/>
      <c r="F797" s="35"/>
      <c r="G797" s="35"/>
      <c r="H797" s="3"/>
      <c r="I797" s="35"/>
      <c r="J797" s="35" t="str">
        <f>IF(OR(TRIM(E797)="", TRIM(H797)=""), "", IFERROR(IF(OR(VLOOKUP(E797&amp;"|"&amp;H797&amp;"", DB!$A:$N, 6, FALSE)="", VLOOKUP(E797&amp;"|"&amp;H797&amp;"", DB!$A:$N, 6, FALSE)="-"), "", VLOOKUP(E797&amp;"|"&amp;H797&amp;"", DB!$A:$N, 6, FALSE)), ""))</f>
        <v/>
      </c>
      <c r="K797" s="35"/>
      <c r="L797" s="35"/>
      <c r="M797" s="35"/>
      <c r="N797" s="35" t="str">
        <f t="shared" si="12"/>
        <v/>
      </c>
      <c r="O797" s="34"/>
      <c r="P797" s="34"/>
      <c r="Q797" s="34"/>
      <c r="R797" s="34"/>
      <c r="S797" s="34"/>
      <c r="T797" s="34"/>
      <c r="U797" s="34"/>
      <c r="V797" s="34"/>
    </row>
    <row r="798" spans="1:22">
      <c r="A798" s="35"/>
      <c r="B798" s="3"/>
      <c r="C798" s="35"/>
      <c r="D798" s="34"/>
      <c r="E798" s="34"/>
      <c r="F798" s="35"/>
      <c r="G798" s="35"/>
      <c r="H798" s="3"/>
      <c r="I798" s="35"/>
      <c r="J798" s="35" t="str">
        <f>IF(OR(TRIM(E798)="", TRIM(H798)=""), "", IFERROR(IF(OR(VLOOKUP(E798&amp;"|"&amp;H798&amp;"", DB!$A:$N, 6, FALSE)="", VLOOKUP(E798&amp;"|"&amp;H798&amp;"", DB!$A:$N, 6, FALSE)="-"), "", VLOOKUP(E798&amp;"|"&amp;H798&amp;"", DB!$A:$N, 6, FALSE)), ""))</f>
        <v/>
      </c>
      <c r="K798" s="35"/>
      <c r="L798" s="35"/>
      <c r="M798" s="35"/>
      <c r="N798" s="35" t="str">
        <f t="shared" si="12"/>
        <v/>
      </c>
      <c r="O798" s="34"/>
      <c r="P798" s="34"/>
      <c r="Q798" s="34"/>
      <c r="R798" s="34"/>
      <c r="S798" s="34"/>
      <c r="T798" s="34"/>
      <c r="U798" s="34"/>
      <c r="V798" s="34"/>
    </row>
    <row r="799" spans="1:22">
      <c r="A799" s="35"/>
      <c r="B799" s="3"/>
      <c r="C799" s="35"/>
      <c r="D799" s="34"/>
      <c r="E799" s="34"/>
      <c r="F799" s="35"/>
      <c r="G799" s="35"/>
      <c r="H799" s="3"/>
      <c r="I799" s="35"/>
      <c r="J799" s="35" t="str">
        <f>IF(OR(TRIM(E799)="", TRIM(H799)=""), "", IFERROR(IF(OR(VLOOKUP(E799&amp;"|"&amp;H799&amp;"", DB!$A:$N, 6, FALSE)="", VLOOKUP(E799&amp;"|"&amp;H799&amp;"", DB!$A:$N, 6, FALSE)="-"), "", VLOOKUP(E799&amp;"|"&amp;H799&amp;"", DB!$A:$N, 6, FALSE)), ""))</f>
        <v/>
      </c>
      <c r="K799" s="35"/>
      <c r="L799" s="35"/>
      <c r="M799" s="35"/>
      <c r="N799" s="35" t="str">
        <f t="shared" si="12"/>
        <v/>
      </c>
      <c r="O799" s="34"/>
      <c r="P799" s="34"/>
      <c r="Q799" s="34"/>
      <c r="R799" s="34"/>
      <c r="S799" s="34"/>
      <c r="T799" s="34"/>
      <c r="U799" s="34"/>
      <c r="V799" s="34"/>
    </row>
    <row r="800" spans="1:22">
      <c r="A800" s="35"/>
      <c r="B800" s="3"/>
      <c r="C800" s="35"/>
      <c r="D800" s="34"/>
      <c r="E800" s="34"/>
      <c r="F800" s="35"/>
      <c r="G800" s="35"/>
      <c r="H800" s="3"/>
      <c r="I800" s="35"/>
      <c r="J800" s="35" t="str">
        <f>IF(OR(TRIM(E800)="", TRIM(H800)=""), "", IFERROR(IF(OR(VLOOKUP(E800&amp;"|"&amp;H800&amp;"", DB!$A:$N, 6, FALSE)="", VLOOKUP(E800&amp;"|"&amp;H800&amp;"", DB!$A:$N, 6, FALSE)="-"), "", VLOOKUP(E800&amp;"|"&amp;H800&amp;"", DB!$A:$N, 6, FALSE)), ""))</f>
        <v/>
      </c>
      <c r="K800" s="35"/>
      <c r="L800" s="35"/>
      <c r="M800" s="35"/>
      <c r="N800" s="35" t="str">
        <f t="shared" si="12"/>
        <v/>
      </c>
      <c r="O800" s="34"/>
      <c r="P800" s="34"/>
      <c r="Q800" s="34"/>
      <c r="R800" s="34"/>
      <c r="S800" s="34"/>
      <c r="T800" s="34"/>
      <c r="U800" s="34"/>
      <c r="V800" s="34"/>
    </row>
    <row r="801" spans="1:22">
      <c r="A801" s="35"/>
      <c r="B801" s="3"/>
      <c r="C801" s="35"/>
      <c r="D801" s="34"/>
      <c r="E801" s="34"/>
      <c r="F801" s="35"/>
      <c r="G801" s="35"/>
      <c r="H801" s="3"/>
      <c r="I801" s="35"/>
      <c r="J801" s="35" t="str">
        <f>IF(OR(TRIM(E801)="", TRIM(H801)=""), "", IFERROR(IF(OR(VLOOKUP(E801&amp;"|"&amp;H801&amp;"", DB!$A:$N, 6, FALSE)="", VLOOKUP(E801&amp;"|"&amp;H801&amp;"", DB!$A:$N, 6, FALSE)="-"), "", VLOOKUP(E801&amp;"|"&amp;H801&amp;"", DB!$A:$N, 6, FALSE)), ""))</f>
        <v/>
      </c>
      <c r="K801" s="35"/>
      <c r="L801" s="35"/>
      <c r="M801" s="35"/>
      <c r="N801" s="35" t="str">
        <f t="shared" si="12"/>
        <v/>
      </c>
      <c r="O801" s="34"/>
      <c r="P801" s="34"/>
      <c r="Q801" s="34"/>
      <c r="R801" s="34"/>
      <c r="S801" s="34"/>
      <c r="T801" s="34"/>
      <c r="U801" s="34"/>
      <c r="V801" s="34"/>
    </row>
    <row r="802" spans="1:22">
      <c r="A802" s="35"/>
      <c r="B802" s="3"/>
      <c r="C802" s="35"/>
      <c r="D802" s="34"/>
      <c r="E802" s="34"/>
      <c r="F802" s="35"/>
      <c r="G802" s="35"/>
      <c r="H802" s="3"/>
      <c r="I802" s="35"/>
      <c r="J802" s="35" t="str">
        <f>IF(OR(TRIM(E802)="", TRIM(H802)=""), "", IFERROR(IF(OR(VLOOKUP(E802&amp;"|"&amp;H802&amp;"", DB!$A:$N, 6, FALSE)="", VLOOKUP(E802&amp;"|"&amp;H802&amp;"", DB!$A:$N, 6, FALSE)="-"), "", VLOOKUP(E802&amp;"|"&amp;H802&amp;"", DB!$A:$N, 6, FALSE)), ""))</f>
        <v/>
      </c>
      <c r="K802" s="35"/>
      <c r="L802" s="35"/>
      <c r="M802" s="35"/>
      <c r="N802" s="35" t="str">
        <f t="shared" si="12"/>
        <v/>
      </c>
      <c r="O802" s="34"/>
      <c r="P802" s="34"/>
      <c r="Q802" s="34"/>
      <c r="R802" s="34"/>
      <c r="S802" s="34"/>
      <c r="T802" s="34"/>
      <c r="U802" s="34"/>
      <c r="V802" s="34"/>
    </row>
    <row r="803" spans="1:22">
      <c r="A803" s="35"/>
      <c r="B803" s="3"/>
      <c r="C803" s="35"/>
      <c r="D803" s="34"/>
      <c r="E803" s="34"/>
      <c r="F803" s="35"/>
      <c r="G803" s="35"/>
      <c r="H803" s="3"/>
      <c r="I803" s="35"/>
      <c r="J803" s="35" t="str">
        <f>IF(OR(TRIM(E803)="", TRIM(H803)=""), "", IFERROR(IF(OR(VLOOKUP(E803&amp;"|"&amp;H803&amp;"", DB!$A:$N, 6, FALSE)="", VLOOKUP(E803&amp;"|"&amp;H803&amp;"", DB!$A:$N, 6, FALSE)="-"), "", VLOOKUP(E803&amp;"|"&amp;H803&amp;"", DB!$A:$N, 6, FALSE)), ""))</f>
        <v/>
      </c>
      <c r="K803" s="35"/>
      <c r="L803" s="35"/>
      <c r="M803" s="35"/>
      <c r="N803" s="35" t="str">
        <f t="shared" si="12"/>
        <v/>
      </c>
      <c r="O803" s="34"/>
      <c r="P803" s="34"/>
      <c r="Q803" s="34"/>
      <c r="R803" s="34"/>
      <c r="S803" s="34"/>
      <c r="T803" s="34"/>
      <c r="U803" s="34"/>
      <c r="V803" s="34"/>
    </row>
    <row r="804" spans="1:22">
      <c r="A804" s="35"/>
      <c r="B804" s="3"/>
      <c r="C804" s="35"/>
      <c r="D804" s="34"/>
      <c r="E804" s="34"/>
      <c r="F804" s="35"/>
      <c r="G804" s="35"/>
      <c r="H804" s="3"/>
      <c r="I804" s="35"/>
      <c r="J804" s="35" t="str">
        <f>IF(OR(TRIM(E804)="", TRIM(H804)=""), "", IFERROR(IF(OR(VLOOKUP(E804&amp;"|"&amp;H804&amp;"", DB!$A:$N, 6, FALSE)="", VLOOKUP(E804&amp;"|"&amp;H804&amp;"", DB!$A:$N, 6, FALSE)="-"), "", VLOOKUP(E804&amp;"|"&amp;H804&amp;"", DB!$A:$N, 6, FALSE)), ""))</f>
        <v/>
      </c>
      <c r="K804" s="35"/>
      <c r="L804" s="35"/>
      <c r="M804" s="35"/>
      <c r="N804" s="35" t="str">
        <f t="shared" si="12"/>
        <v/>
      </c>
      <c r="O804" s="34"/>
      <c r="P804" s="34"/>
      <c r="Q804" s="34"/>
      <c r="R804" s="34"/>
      <c r="S804" s="34"/>
      <c r="T804" s="34"/>
      <c r="U804" s="34"/>
      <c r="V804" s="34"/>
    </row>
    <row r="805" spans="1:22">
      <c r="A805" s="35"/>
      <c r="B805" s="3"/>
      <c r="C805" s="35"/>
      <c r="D805" s="34"/>
      <c r="E805" s="34"/>
      <c r="F805" s="35"/>
      <c r="G805" s="35"/>
      <c r="H805" s="3"/>
      <c r="I805" s="35"/>
      <c r="J805" s="35" t="str">
        <f>IF(OR(TRIM(E805)="", TRIM(H805)=""), "", IFERROR(IF(OR(VLOOKUP(E805&amp;"|"&amp;H805&amp;"", DB!$A:$N, 6, FALSE)="", VLOOKUP(E805&amp;"|"&amp;H805&amp;"", DB!$A:$N, 6, FALSE)="-"), "", VLOOKUP(E805&amp;"|"&amp;H805&amp;"", DB!$A:$N, 6, FALSE)), ""))</f>
        <v/>
      </c>
      <c r="K805" s="35"/>
      <c r="L805" s="35"/>
      <c r="M805" s="35"/>
      <c r="N805" s="35" t="str">
        <f t="shared" si="12"/>
        <v/>
      </c>
      <c r="O805" s="34"/>
      <c r="P805" s="34"/>
      <c r="Q805" s="34"/>
      <c r="R805" s="34"/>
      <c r="S805" s="34"/>
      <c r="T805" s="34"/>
      <c r="U805" s="34"/>
      <c r="V805" s="34"/>
    </row>
    <row r="806" spans="1:22">
      <c r="A806" s="35"/>
      <c r="B806" s="3"/>
      <c r="C806" s="35"/>
      <c r="D806" s="34"/>
      <c r="E806" s="34"/>
      <c r="F806" s="35"/>
      <c r="G806" s="35"/>
      <c r="H806" s="3"/>
      <c r="I806" s="35"/>
      <c r="J806" s="35" t="str">
        <f>IF(OR(TRIM(E806)="", TRIM(H806)=""), "", IFERROR(IF(OR(VLOOKUP(E806&amp;"|"&amp;H806&amp;"", DB!$A:$N, 6, FALSE)="", VLOOKUP(E806&amp;"|"&amp;H806&amp;"", DB!$A:$N, 6, FALSE)="-"), "", VLOOKUP(E806&amp;"|"&amp;H806&amp;"", DB!$A:$N, 6, FALSE)), ""))</f>
        <v/>
      </c>
      <c r="K806" s="35"/>
      <c r="L806" s="35"/>
      <c r="M806" s="35"/>
      <c r="N806" s="35" t="str">
        <f t="shared" si="12"/>
        <v/>
      </c>
      <c r="O806" s="34"/>
      <c r="P806" s="34"/>
      <c r="Q806" s="34"/>
      <c r="R806" s="34"/>
      <c r="S806" s="34"/>
      <c r="T806" s="34"/>
      <c r="U806" s="34"/>
      <c r="V806" s="34"/>
    </row>
    <row r="807" spans="1:22">
      <c r="A807" s="35"/>
      <c r="B807" s="3"/>
      <c r="C807" s="35"/>
      <c r="D807" s="34"/>
      <c r="E807" s="34"/>
      <c r="F807" s="35"/>
      <c r="G807" s="35"/>
      <c r="H807" s="3"/>
      <c r="I807" s="35"/>
      <c r="J807" s="35" t="str">
        <f>IF(OR(TRIM(E807)="", TRIM(H807)=""), "", IFERROR(IF(OR(VLOOKUP(E807&amp;"|"&amp;H807&amp;"", DB!$A:$N, 6, FALSE)="", VLOOKUP(E807&amp;"|"&amp;H807&amp;"", DB!$A:$N, 6, FALSE)="-"), "", VLOOKUP(E807&amp;"|"&amp;H807&amp;"", DB!$A:$N, 6, FALSE)), ""))</f>
        <v/>
      </c>
      <c r="K807" s="35"/>
      <c r="L807" s="35"/>
      <c r="M807" s="35"/>
      <c r="N807" s="35" t="str">
        <f t="shared" si="12"/>
        <v/>
      </c>
      <c r="O807" s="34"/>
      <c r="P807" s="34"/>
      <c r="Q807" s="34"/>
      <c r="R807" s="34"/>
      <c r="S807" s="34"/>
      <c r="T807" s="34"/>
      <c r="U807" s="34"/>
      <c r="V807" s="34"/>
    </row>
    <row r="808" spans="1:22">
      <c r="A808" s="35"/>
      <c r="B808" s="3"/>
      <c r="C808" s="35"/>
      <c r="D808" s="34"/>
      <c r="E808" s="34"/>
      <c r="F808" s="35"/>
      <c r="G808" s="35"/>
      <c r="H808" s="3"/>
      <c r="I808" s="35"/>
      <c r="J808" s="35" t="str">
        <f>IF(OR(TRIM(E808)="", TRIM(H808)=""), "", IFERROR(IF(OR(VLOOKUP(E808&amp;"|"&amp;H808&amp;"", DB!$A:$N, 6, FALSE)="", VLOOKUP(E808&amp;"|"&amp;H808&amp;"", DB!$A:$N, 6, FALSE)="-"), "", VLOOKUP(E808&amp;"|"&amp;H808&amp;"", DB!$A:$N, 6, FALSE)), ""))</f>
        <v/>
      </c>
      <c r="K808" s="35"/>
      <c r="L808" s="35"/>
      <c r="M808" s="35"/>
      <c r="N808" s="35" t="str">
        <f t="shared" si="12"/>
        <v/>
      </c>
      <c r="O808" s="34"/>
      <c r="P808" s="34"/>
      <c r="Q808" s="34"/>
      <c r="R808" s="34"/>
      <c r="S808" s="34"/>
      <c r="T808" s="34"/>
      <c r="U808" s="34"/>
      <c r="V808" s="34"/>
    </row>
    <row r="809" spans="1:22">
      <c r="A809" s="35"/>
      <c r="B809" s="3"/>
      <c r="C809" s="35"/>
      <c r="D809" s="34"/>
      <c r="E809" s="34"/>
      <c r="F809" s="35"/>
      <c r="G809" s="35"/>
      <c r="H809" s="3"/>
      <c r="I809" s="35"/>
      <c r="J809" s="35" t="str">
        <f>IF(OR(TRIM(E809)="", TRIM(H809)=""), "", IFERROR(IF(OR(VLOOKUP(E809&amp;"|"&amp;H809&amp;"", DB!$A:$N, 6, FALSE)="", VLOOKUP(E809&amp;"|"&amp;H809&amp;"", DB!$A:$N, 6, FALSE)="-"), "", VLOOKUP(E809&amp;"|"&amp;H809&amp;"", DB!$A:$N, 6, FALSE)), ""))</f>
        <v/>
      </c>
      <c r="K809" s="35"/>
      <c r="L809" s="35"/>
      <c r="M809" s="35"/>
      <c r="N809" s="35" t="str">
        <f t="shared" si="12"/>
        <v/>
      </c>
      <c r="O809" s="34"/>
      <c r="P809" s="34"/>
      <c r="Q809" s="34"/>
      <c r="R809" s="34"/>
      <c r="S809" s="34"/>
      <c r="T809" s="34"/>
      <c r="U809" s="34"/>
      <c r="V809" s="34"/>
    </row>
    <row r="810" spans="1:22">
      <c r="A810" s="35"/>
      <c r="B810" s="3"/>
      <c r="C810" s="35"/>
      <c r="D810" s="34"/>
      <c r="E810" s="34"/>
      <c r="F810" s="35"/>
      <c r="G810" s="35"/>
      <c r="H810" s="3"/>
      <c r="I810" s="35"/>
      <c r="J810" s="35" t="str">
        <f>IF(OR(TRIM(E810)="", TRIM(H810)=""), "", IFERROR(IF(OR(VLOOKUP(E810&amp;"|"&amp;H810&amp;"", DB!$A:$N, 6, FALSE)="", VLOOKUP(E810&amp;"|"&amp;H810&amp;"", DB!$A:$N, 6, FALSE)="-"), "", VLOOKUP(E810&amp;"|"&amp;H810&amp;"", DB!$A:$N, 6, FALSE)), ""))</f>
        <v/>
      </c>
      <c r="K810" s="35"/>
      <c r="L810" s="35"/>
      <c r="M810" s="35"/>
      <c r="N810" s="35" t="str">
        <f t="shared" si="12"/>
        <v/>
      </c>
      <c r="O810" s="34"/>
      <c r="P810" s="34"/>
      <c r="Q810" s="34"/>
      <c r="R810" s="34"/>
      <c r="S810" s="34"/>
      <c r="T810" s="34"/>
      <c r="U810" s="34"/>
      <c r="V810" s="34"/>
    </row>
    <row r="811" spans="1:22">
      <c r="A811" s="35"/>
      <c r="B811" s="3"/>
      <c r="C811" s="35"/>
      <c r="D811" s="34"/>
      <c r="E811" s="34"/>
      <c r="F811" s="35"/>
      <c r="G811" s="35"/>
      <c r="H811" s="3"/>
      <c r="I811" s="35"/>
      <c r="J811" s="35" t="str">
        <f>IF(OR(TRIM(E811)="", TRIM(H811)=""), "", IFERROR(IF(OR(VLOOKUP(E811&amp;"|"&amp;H811&amp;"", DB!$A:$N, 6, FALSE)="", VLOOKUP(E811&amp;"|"&amp;H811&amp;"", DB!$A:$N, 6, FALSE)="-"), "", VLOOKUP(E811&amp;"|"&amp;H811&amp;"", DB!$A:$N, 6, FALSE)), ""))</f>
        <v/>
      </c>
      <c r="K811" s="35"/>
      <c r="L811" s="35"/>
      <c r="M811" s="35"/>
      <c r="N811" s="35" t="str">
        <f t="shared" si="12"/>
        <v/>
      </c>
      <c r="O811" s="34"/>
      <c r="P811" s="34"/>
      <c r="Q811" s="34"/>
      <c r="R811" s="34"/>
      <c r="S811" s="34"/>
      <c r="T811" s="34"/>
      <c r="U811" s="34"/>
      <c r="V811" s="34"/>
    </row>
    <row r="812" spans="1:22">
      <c r="A812" s="35"/>
      <c r="B812" s="3"/>
      <c r="C812" s="35"/>
      <c r="D812" s="34"/>
      <c r="E812" s="34"/>
      <c r="F812" s="35"/>
      <c r="G812" s="35"/>
      <c r="H812" s="3"/>
      <c r="I812" s="35"/>
      <c r="J812" s="35" t="str">
        <f>IF(OR(TRIM(E812)="", TRIM(H812)=""), "", IFERROR(IF(OR(VLOOKUP(E812&amp;"|"&amp;H812&amp;"", DB!$A:$N, 6, FALSE)="", VLOOKUP(E812&amp;"|"&amp;H812&amp;"", DB!$A:$N, 6, FALSE)="-"), "", VLOOKUP(E812&amp;"|"&amp;H812&amp;"", DB!$A:$N, 6, FALSE)), ""))</f>
        <v/>
      </c>
      <c r="K812" s="35"/>
      <c r="L812" s="35"/>
      <c r="M812" s="35"/>
      <c r="N812" s="35" t="str">
        <f t="shared" si="12"/>
        <v/>
      </c>
      <c r="O812" s="34"/>
      <c r="P812" s="34"/>
      <c r="Q812" s="34"/>
      <c r="R812" s="34"/>
      <c r="S812" s="34"/>
      <c r="T812" s="34"/>
      <c r="U812" s="34"/>
      <c r="V812" s="34"/>
    </row>
    <row r="813" spans="1:22">
      <c r="A813" s="35"/>
      <c r="B813" s="3"/>
      <c r="C813" s="35"/>
      <c r="D813" s="34"/>
      <c r="E813" s="34"/>
      <c r="F813" s="35"/>
      <c r="G813" s="35"/>
      <c r="H813" s="3"/>
      <c r="I813" s="35"/>
      <c r="J813" s="35" t="str">
        <f>IF(OR(TRIM(E813)="", TRIM(H813)=""), "", IFERROR(IF(OR(VLOOKUP(E813&amp;"|"&amp;H813&amp;"", DB!$A:$N, 6, FALSE)="", VLOOKUP(E813&amp;"|"&amp;H813&amp;"", DB!$A:$N, 6, FALSE)="-"), "", VLOOKUP(E813&amp;"|"&amp;H813&amp;"", DB!$A:$N, 6, FALSE)), ""))</f>
        <v/>
      </c>
      <c r="K813" s="35"/>
      <c r="L813" s="35"/>
      <c r="M813" s="35"/>
      <c r="N813" s="35" t="str">
        <f t="shared" si="12"/>
        <v/>
      </c>
      <c r="O813" s="34"/>
      <c r="P813" s="34"/>
      <c r="Q813" s="34"/>
      <c r="R813" s="34"/>
      <c r="S813" s="34"/>
      <c r="T813" s="34"/>
      <c r="U813" s="34"/>
      <c r="V813" s="34"/>
    </row>
    <row r="814" spans="1:22">
      <c r="A814" s="35"/>
      <c r="B814" s="3"/>
      <c r="C814" s="35"/>
      <c r="D814" s="34"/>
      <c r="E814" s="34"/>
      <c r="F814" s="35"/>
      <c r="G814" s="35"/>
      <c r="H814" s="3"/>
      <c r="I814" s="35"/>
      <c r="J814" s="35" t="str">
        <f>IF(OR(TRIM(E814)="", TRIM(H814)=""), "", IFERROR(IF(OR(VLOOKUP(E814&amp;"|"&amp;H814&amp;"", DB!$A:$N, 6, FALSE)="", VLOOKUP(E814&amp;"|"&amp;H814&amp;"", DB!$A:$N, 6, FALSE)="-"), "", VLOOKUP(E814&amp;"|"&amp;H814&amp;"", DB!$A:$N, 6, FALSE)), ""))</f>
        <v/>
      </c>
      <c r="K814" s="35"/>
      <c r="L814" s="35"/>
      <c r="M814" s="35"/>
      <c r="N814" s="35" t="str">
        <f t="shared" si="12"/>
        <v/>
      </c>
      <c r="O814" s="34"/>
      <c r="P814" s="34"/>
      <c r="Q814" s="34"/>
      <c r="R814" s="34"/>
      <c r="S814" s="34"/>
      <c r="T814" s="34"/>
      <c r="U814" s="34"/>
      <c r="V814" s="34"/>
    </row>
    <row r="815" spans="1:22">
      <c r="A815" s="35"/>
      <c r="B815" s="3"/>
      <c r="C815" s="35"/>
      <c r="D815" s="34"/>
      <c r="E815" s="34"/>
      <c r="F815" s="35"/>
      <c r="G815" s="35"/>
      <c r="H815" s="3"/>
      <c r="I815" s="35"/>
      <c r="J815" s="35" t="str">
        <f>IF(OR(TRIM(E815)="", TRIM(H815)=""), "", IFERROR(IF(OR(VLOOKUP(E815&amp;"|"&amp;H815&amp;"", DB!$A:$N, 6, FALSE)="", VLOOKUP(E815&amp;"|"&amp;H815&amp;"", DB!$A:$N, 6, FALSE)="-"), "", VLOOKUP(E815&amp;"|"&amp;H815&amp;"", DB!$A:$N, 6, FALSE)), ""))</f>
        <v/>
      </c>
      <c r="K815" s="35"/>
      <c r="L815" s="35"/>
      <c r="M815" s="35"/>
      <c r="N815" s="35" t="str">
        <f t="shared" si="12"/>
        <v/>
      </c>
      <c r="O815" s="34"/>
      <c r="P815" s="34"/>
      <c r="Q815" s="34"/>
      <c r="R815" s="34"/>
      <c r="S815" s="34"/>
      <c r="T815" s="34"/>
      <c r="U815" s="34"/>
      <c r="V815" s="34"/>
    </row>
    <row r="816" spans="1:22">
      <c r="A816" s="35"/>
      <c r="B816" s="3"/>
      <c r="C816" s="35"/>
      <c r="D816" s="34"/>
      <c r="E816" s="34"/>
      <c r="F816" s="35"/>
      <c r="G816" s="35"/>
      <c r="H816" s="3"/>
      <c r="I816" s="35"/>
      <c r="J816" s="35" t="str">
        <f>IF(OR(TRIM(E816)="", TRIM(H816)=""), "", IFERROR(IF(OR(VLOOKUP(E816&amp;"|"&amp;H816&amp;"", DB!$A:$N, 6, FALSE)="", VLOOKUP(E816&amp;"|"&amp;H816&amp;"", DB!$A:$N, 6, FALSE)="-"), "", VLOOKUP(E816&amp;"|"&amp;H816&amp;"", DB!$A:$N, 6, FALSE)), ""))</f>
        <v/>
      </c>
      <c r="K816" s="35"/>
      <c r="L816" s="35"/>
      <c r="M816" s="35"/>
      <c r="N816" s="35" t="str">
        <f t="shared" si="12"/>
        <v/>
      </c>
      <c r="O816" s="34"/>
      <c r="P816" s="34"/>
      <c r="Q816" s="34"/>
      <c r="R816" s="34"/>
      <c r="S816" s="34"/>
      <c r="T816" s="34"/>
      <c r="U816" s="34"/>
      <c r="V816" s="34"/>
    </row>
    <row r="817" spans="1:22">
      <c r="A817" s="35"/>
      <c r="B817" s="3"/>
      <c r="C817" s="35"/>
      <c r="D817" s="34"/>
      <c r="E817" s="34"/>
      <c r="F817" s="35"/>
      <c r="G817" s="35"/>
      <c r="H817" s="3"/>
      <c r="I817" s="35"/>
      <c r="J817" s="35" t="str">
        <f>IF(OR(TRIM(E817)="", TRIM(H817)=""), "", IFERROR(IF(OR(VLOOKUP(E817&amp;"|"&amp;H817&amp;"", DB!$A:$N, 6, FALSE)="", VLOOKUP(E817&amp;"|"&amp;H817&amp;"", DB!$A:$N, 6, FALSE)="-"), "", VLOOKUP(E817&amp;"|"&amp;H817&amp;"", DB!$A:$N, 6, FALSE)), ""))</f>
        <v/>
      </c>
      <c r="K817" s="35"/>
      <c r="L817" s="35"/>
      <c r="M817" s="35"/>
      <c r="N817" s="35" t="str">
        <f t="shared" si="12"/>
        <v/>
      </c>
      <c r="O817" s="34"/>
      <c r="P817" s="34"/>
      <c r="Q817" s="34"/>
      <c r="R817" s="34"/>
      <c r="S817" s="34"/>
      <c r="T817" s="34"/>
      <c r="U817" s="34"/>
      <c r="V817" s="34"/>
    </row>
    <row r="818" spans="1:22">
      <c r="A818" s="35"/>
      <c r="B818" s="3"/>
      <c r="C818" s="35"/>
      <c r="D818" s="34"/>
      <c r="E818" s="34"/>
      <c r="F818" s="35"/>
      <c r="G818" s="35"/>
      <c r="H818" s="3"/>
      <c r="I818" s="35"/>
      <c r="J818" s="35" t="str">
        <f>IF(OR(TRIM(E818)="", TRIM(H818)=""), "", IFERROR(IF(OR(VLOOKUP(E818&amp;"|"&amp;H818&amp;"", DB!$A:$N, 6, FALSE)="", VLOOKUP(E818&amp;"|"&amp;H818&amp;"", DB!$A:$N, 6, FALSE)="-"), "", VLOOKUP(E818&amp;"|"&amp;H818&amp;"", DB!$A:$N, 6, FALSE)), ""))</f>
        <v/>
      </c>
      <c r="K818" s="35"/>
      <c r="L818" s="35"/>
      <c r="M818" s="35"/>
      <c r="N818" s="35" t="str">
        <f t="shared" si="12"/>
        <v/>
      </c>
      <c r="O818" s="34"/>
      <c r="P818" s="34"/>
      <c r="Q818" s="34"/>
      <c r="R818" s="34"/>
      <c r="S818" s="34"/>
      <c r="T818" s="34"/>
      <c r="U818" s="34"/>
      <c r="V818" s="34"/>
    </row>
    <row r="819" spans="1:22">
      <c r="A819" s="35"/>
      <c r="B819" s="3"/>
      <c r="C819" s="35"/>
      <c r="D819" s="34"/>
      <c r="E819" s="34"/>
      <c r="F819" s="35"/>
      <c r="G819" s="35"/>
      <c r="H819" s="3"/>
      <c r="I819" s="35"/>
      <c r="J819" s="35" t="str">
        <f>IF(OR(TRIM(E819)="", TRIM(H819)=""), "", IFERROR(IF(OR(VLOOKUP(E819&amp;"|"&amp;H819&amp;"", DB!$A:$N, 6, FALSE)="", VLOOKUP(E819&amp;"|"&amp;H819&amp;"", DB!$A:$N, 6, FALSE)="-"), "", VLOOKUP(E819&amp;"|"&amp;H819&amp;"", DB!$A:$N, 6, FALSE)), ""))</f>
        <v/>
      </c>
      <c r="K819" s="35"/>
      <c r="L819" s="35"/>
      <c r="M819" s="35"/>
      <c r="N819" s="35" t="str">
        <f t="shared" si="12"/>
        <v/>
      </c>
      <c r="O819" s="34"/>
      <c r="P819" s="34"/>
      <c r="Q819" s="34"/>
      <c r="R819" s="34"/>
      <c r="S819" s="34"/>
      <c r="T819" s="34"/>
      <c r="U819" s="34"/>
      <c r="V819" s="34"/>
    </row>
    <row r="820" spans="1:22">
      <c r="A820" s="35"/>
      <c r="B820" s="3"/>
      <c r="C820" s="35"/>
      <c r="D820" s="34"/>
      <c r="E820" s="34"/>
      <c r="F820" s="35"/>
      <c r="G820" s="35"/>
      <c r="H820" s="3"/>
      <c r="I820" s="35"/>
      <c r="J820" s="35" t="str">
        <f>IF(OR(TRIM(E820)="", TRIM(H820)=""), "", IFERROR(IF(OR(VLOOKUP(E820&amp;"|"&amp;H820&amp;"", DB!$A:$N, 6, FALSE)="", VLOOKUP(E820&amp;"|"&amp;H820&amp;"", DB!$A:$N, 6, FALSE)="-"), "", VLOOKUP(E820&amp;"|"&amp;H820&amp;"", DB!$A:$N, 6, FALSE)), ""))</f>
        <v/>
      </c>
      <c r="K820" s="35"/>
      <c r="L820" s="35"/>
      <c r="M820" s="35"/>
      <c r="N820" s="35" t="str">
        <f t="shared" si="12"/>
        <v/>
      </c>
      <c r="O820" s="34"/>
      <c r="P820" s="34"/>
      <c r="Q820" s="34"/>
      <c r="R820" s="34"/>
      <c r="S820" s="34"/>
      <c r="T820" s="34"/>
      <c r="U820" s="34"/>
      <c r="V820" s="34"/>
    </row>
    <row r="821" spans="1:22">
      <c r="A821" s="35"/>
      <c r="B821" s="3"/>
      <c r="C821" s="35"/>
      <c r="D821" s="34"/>
      <c r="E821" s="34"/>
      <c r="F821" s="35"/>
      <c r="G821" s="35"/>
      <c r="H821" s="3"/>
      <c r="I821" s="35"/>
      <c r="J821" s="35" t="str">
        <f>IF(OR(TRIM(E821)="", TRIM(H821)=""), "", IFERROR(IF(OR(VLOOKUP(E821&amp;"|"&amp;H821&amp;"", DB!$A:$N, 6, FALSE)="", VLOOKUP(E821&amp;"|"&amp;H821&amp;"", DB!$A:$N, 6, FALSE)="-"), "", VLOOKUP(E821&amp;"|"&amp;H821&amp;"", DB!$A:$N, 6, FALSE)), ""))</f>
        <v/>
      </c>
      <c r="K821" s="35"/>
      <c r="L821" s="35"/>
      <c r="M821" s="35"/>
      <c r="N821" s="35" t="str">
        <f t="shared" si="12"/>
        <v/>
      </c>
      <c r="O821" s="34"/>
      <c r="P821" s="34"/>
      <c r="Q821" s="34"/>
      <c r="R821" s="34"/>
      <c r="S821" s="34"/>
      <c r="T821" s="34"/>
      <c r="U821" s="34"/>
      <c r="V821" s="34"/>
    </row>
    <row r="822" spans="1:22">
      <c r="A822" s="35"/>
      <c r="B822" s="3"/>
      <c r="C822" s="35"/>
      <c r="D822" s="34"/>
      <c r="E822" s="34"/>
      <c r="F822" s="35"/>
      <c r="G822" s="35"/>
      <c r="H822" s="3"/>
      <c r="I822" s="35"/>
      <c r="J822" s="35" t="str">
        <f>IF(OR(TRIM(E822)="", TRIM(H822)=""), "", IFERROR(IF(OR(VLOOKUP(E822&amp;"|"&amp;H822&amp;"", DB!$A:$N, 6, FALSE)="", VLOOKUP(E822&amp;"|"&amp;H822&amp;"", DB!$A:$N, 6, FALSE)="-"), "", VLOOKUP(E822&amp;"|"&amp;H822&amp;"", DB!$A:$N, 6, FALSE)), ""))</f>
        <v/>
      </c>
      <c r="K822" s="35"/>
      <c r="L822" s="35"/>
      <c r="M822" s="35"/>
      <c r="N822" s="35" t="str">
        <f t="shared" si="12"/>
        <v/>
      </c>
      <c r="O822" s="34"/>
      <c r="P822" s="34"/>
      <c r="Q822" s="34"/>
      <c r="R822" s="34"/>
      <c r="S822" s="34"/>
      <c r="T822" s="34"/>
      <c r="U822" s="34"/>
      <c r="V822" s="34"/>
    </row>
    <row r="823" spans="1:22">
      <c r="A823" s="35"/>
      <c r="B823" s="3"/>
      <c r="C823" s="35"/>
      <c r="D823" s="34"/>
      <c r="E823" s="34"/>
      <c r="F823" s="35"/>
      <c r="G823" s="35"/>
      <c r="H823" s="3"/>
      <c r="I823" s="35"/>
      <c r="J823" s="35" t="str">
        <f>IF(OR(TRIM(E823)="", TRIM(H823)=""), "", IFERROR(IF(OR(VLOOKUP(E823&amp;"|"&amp;H823&amp;"", DB!$A:$N, 6, FALSE)="", VLOOKUP(E823&amp;"|"&amp;H823&amp;"", DB!$A:$N, 6, FALSE)="-"), "", VLOOKUP(E823&amp;"|"&amp;H823&amp;"", DB!$A:$N, 6, FALSE)), ""))</f>
        <v/>
      </c>
      <c r="K823" s="35"/>
      <c r="L823" s="35"/>
      <c r="M823" s="35"/>
      <c r="N823" s="35" t="str">
        <f t="shared" si="12"/>
        <v/>
      </c>
      <c r="O823" s="34"/>
      <c r="P823" s="34"/>
      <c r="Q823" s="34"/>
      <c r="R823" s="34"/>
      <c r="S823" s="34"/>
      <c r="T823" s="34"/>
      <c r="U823" s="34"/>
      <c r="V823" s="34"/>
    </row>
    <row r="824" spans="1:22">
      <c r="A824" s="35"/>
      <c r="B824" s="3"/>
      <c r="C824" s="35"/>
      <c r="D824" s="34"/>
      <c r="E824" s="34"/>
      <c r="F824" s="35"/>
      <c r="G824" s="35"/>
      <c r="H824" s="3"/>
      <c r="I824" s="35"/>
      <c r="J824" s="35" t="str">
        <f>IF(OR(TRIM(E824)="", TRIM(H824)=""), "", IFERROR(IF(OR(VLOOKUP(E824&amp;"|"&amp;H824&amp;"", DB!$A:$N, 6, FALSE)="", VLOOKUP(E824&amp;"|"&amp;H824&amp;"", DB!$A:$N, 6, FALSE)="-"), "", VLOOKUP(E824&amp;"|"&amp;H824&amp;"", DB!$A:$N, 6, FALSE)), ""))</f>
        <v/>
      </c>
      <c r="K824" s="35"/>
      <c r="L824" s="35"/>
      <c r="M824" s="35"/>
      <c r="N824" s="35" t="str">
        <f t="shared" si="12"/>
        <v/>
      </c>
      <c r="O824" s="34"/>
      <c r="P824" s="34"/>
      <c r="Q824" s="34"/>
      <c r="R824" s="34"/>
      <c r="S824" s="34"/>
      <c r="T824" s="34"/>
      <c r="U824" s="34"/>
      <c r="V824" s="34"/>
    </row>
    <row r="825" spans="1:22">
      <c r="A825" s="35"/>
      <c r="B825" s="3"/>
      <c r="C825" s="35"/>
      <c r="D825" s="34"/>
      <c r="E825" s="34"/>
      <c r="F825" s="35"/>
      <c r="G825" s="35"/>
      <c r="H825" s="3"/>
      <c r="I825" s="35"/>
      <c r="J825" s="35" t="str">
        <f>IF(OR(TRIM(E825)="", TRIM(H825)=""), "", IFERROR(IF(OR(VLOOKUP(E825&amp;"|"&amp;H825&amp;"", DB!$A:$N, 6, FALSE)="", VLOOKUP(E825&amp;"|"&amp;H825&amp;"", DB!$A:$N, 6, FALSE)="-"), "", VLOOKUP(E825&amp;"|"&amp;H825&amp;"", DB!$A:$N, 6, FALSE)), ""))</f>
        <v/>
      </c>
      <c r="K825" s="35"/>
      <c r="L825" s="35"/>
      <c r="M825" s="35"/>
      <c r="N825" s="35" t="str">
        <f t="shared" si="12"/>
        <v/>
      </c>
      <c r="O825" s="34"/>
      <c r="P825" s="34"/>
      <c r="Q825" s="34"/>
      <c r="R825" s="34"/>
      <c r="S825" s="34"/>
      <c r="T825" s="34"/>
      <c r="U825" s="34"/>
      <c r="V825" s="34"/>
    </row>
    <row r="826" spans="1:22">
      <c r="A826" s="35"/>
      <c r="B826" s="3"/>
      <c r="C826" s="35"/>
      <c r="D826" s="34"/>
      <c r="E826" s="34"/>
      <c r="F826" s="35"/>
      <c r="G826" s="35"/>
      <c r="H826" s="3"/>
      <c r="I826" s="35"/>
      <c r="J826" s="35" t="str">
        <f>IF(OR(TRIM(E826)="", TRIM(H826)=""), "", IFERROR(IF(OR(VLOOKUP(E826&amp;"|"&amp;H826&amp;"", DB!$A:$N, 6, FALSE)="", VLOOKUP(E826&amp;"|"&amp;H826&amp;"", DB!$A:$N, 6, FALSE)="-"), "", VLOOKUP(E826&amp;"|"&amp;H826&amp;"", DB!$A:$N, 6, FALSE)), ""))</f>
        <v/>
      </c>
      <c r="K826" s="35"/>
      <c r="L826" s="35"/>
      <c r="M826" s="35"/>
      <c r="N826" s="35" t="str">
        <f t="shared" si="12"/>
        <v/>
      </c>
      <c r="O826" s="34"/>
      <c r="P826" s="34"/>
      <c r="Q826" s="34"/>
      <c r="R826" s="34"/>
      <c r="S826" s="34"/>
      <c r="T826" s="34"/>
      <c r="U826" s="34"/>
      <c r="V826" s="34"/>
    </row>
    <row r="827" spans="1:22">
      <c r="A827" s="35"/>
      <c r="B827" s="3"/>
      <c r="C827" s="35"/>
      <c r="D827" s="34"/>
      <c r="E827" s="34"/>
      <c r="F827" s="35"/>
      <c r="G827" s="35"/>
      <c r="H827" s="3"/>
      <c r="I827" s="35"/>
      <c r="J827" s="35" t="str">
        <f>IF(OR(TRIM(E827)="", TRIM(H827)=""), "", IFERROR(IF(OR(VLOOKUP(E827&amp;"|"&amp;H827&amp;"", DB!$A:$N, 6, FALSE)="", VLOOKUP(E827&amp;"|"&amp;H827&amp;"", DB!$A:$N, 6, FALSE)="-"), "", VLOOKUP(E827&amp;"|"&amp;H827&amp;"", DB!$A:$N, 6, FALSE)), ""))</f>
        <v/>
      </c>
      <c r="K827" s="35"/>
      <c r="L827" s="35"/>
      <c r="M827" s="35"/>
      <c r="N827" s="35" t="str">
        <f t="shared" si="12"/>
        <v/>
      </c>
      <c r="O827" s="34"/>
      <c r="P827" s="34"/>
      <c r="Q827" s="34"/>
      <c r="R827" s="34"/>
      <c r="S827" s="34"/>
      <c r="T827" s="34"/>
      <c r="U827" s="34"/>
      <c r="V827" s="34"/>
    </row>
    <row r="828" spans="1:22">
      <c r="A828" s="35"/>
      <c r="B828" s="3"/>
      <c r="C828" s="35"/>
      <c r="D828" s="34"/>
      <c r="E828" s="34"/>
      <c r="F828" s="35"/>
      <c r="G828" s="35"/>
      <c r="H828" s="3"/>
      <c r="I828" s="35"/>
      <c r="J828" s="35" t="str">
        <f>IF(OR(TRIM(E828)="", TRIM(H828)=""), "", IFERROR(IF(OR(VLOOKUP(E828&amp;"|"&amp;H828&amp;"", DB!$A:$N, 6, FALSE)="", VLOOKUP(E828&amp;"|"&amp;H828&amp;"", DB!$A:$N, 6, FALSE)="-"), "", VLOOKUP(E828&amp;"|"&amp;H828&amp;"", DB!$A:$N, 6, FALSE)), ""))</f>
        <v/>
      </c>
      <c r="K828" s="35"/>
      <c r="L828" s="35"/>
      <c r="M828" s="35"/>
      <c r="N828" s="35" t="str">
        <f t="shared" si="12"/>
        <v/>
      </c>
      <c r="O828" s="34"/>
      <c r="P828" s="34"/>
      <c r="Q828" s="34"/>
      <c r="R828" s="34"/>
      <c r="S828" s="34"/>
      <c r="T828" s="34"/>
      <c r="U828" s="34"/>
      <c r="V828" s="34"/>
    </row>
    <row r="829" spans="1:22">
      <c r="A829" s="35"/>
      <c r="B829" s="3"/>
      <c r="C829" s="35"/>
      <c r="D829" s="34"/>
      <c r="E829" s="34"/>
      <c r="F829" s="35"/>
      <c r="G829" s="35"/>
      <c r="H829" s="3"/>
      <c r="I829" s="35"/>
      <c r="J829" s="35" t="str">
        <f>IF(OR(TRIM(E829)="", TRIM(H829)=""), "", IFERROR(IF(OR(VLOOKUP(E829&amp;"|"&amp;H829&amp;"", DB!$A:$N, 6, FALSE)="", VLOOKUP(E829&amp;"|"&amp;H829&amp;"", DB!$A:$N, 6, FALSE)="-"), "", VLOOKUP(E829&amp;"|"&amp;H829&amp;"", DB!$A:$N, 6, FALSE)), ""))</f>
        <v/>
      </c>
      <c r="K829" s="35"/>
      <c r="L829" s="35"/>
      <c r="M829" s="35"/>
      <c r="N829" s="35" t="str">
        <f t="shared" si="12"/>
        <v/>
      </c>
      <c r="O829" s="34"/>
      <c r="P829" s="34"/>
      <c r="Q829" s="34"/>
      <c r="R829" s="34"/>
      <c r="S829" s="34"/>
      <c r="T829" s="34"/>
      <c r="U829" s="34"/>
      <c r="V829" s="34"/>
    </row>
    <row r="830" spans="1:22">
      <c r="A830" s="35"/>
      <c r="B830" s="3"/>
      <c r="C830" s="35"/>
      <c r="D830" s="34"/>
      <c r="E830" s="34"/>
      <c r="F830" s="35"/>
      <c r="G830" s="35"/>
      <c r="H830" s="3"/>
      <c r="I830" s="35"/>
      <c r="J830" s="35" t="str">
        <f>IF(OR(TRIM(E830)="", TRIM(H830)=""), "", IFERROR(IF(OR(VLOOKUP(E830&amp;"|"&amp;H830&amp;"", DB!$A:$N, 6, FALSE)="", VLOOKUP(E830&amp;"|"&amp;H830&amp;"", DB!$A:$N, 6, FALSE)="-"), "", VLOOKUP(E830&amp;"|"&amp;H830&amp;"", DB!$A:$N, 6, FALSE)), ""))</f>
        <v/>
      </c>
      <c r="K830" s="35"/>
      <c r="L830" s="35"/>
      <c r="M830" s="35"/>
      <c r="N830" s="35" t="str">
        <f t="shared" si="12"/>
        <v/>
      </c>
      <c r="O830" s="34"/>
      <c r="P830" s="34"/>
      <c r="Q830" s="34"/>
      <c r="R830" s="34"/>
      <c r="S830" s="34"/>
      <c r="T830" s="34"/>
      <c r="U830" s="34"/>
      <c r="V830" s="34"/>
    </row>
    <row r="831" spans="1:22">
      <c r="A831" s="35"/>
      <c r="B831" s="3"/>
      <c r="C831" s="35"/>
      <c r="D831" s="34"/>
      <c r="E831" s="34"/>
      <c r="F831" s="35"/>
      <c r="G831" s="35"/>
      <c r="H831" s="3"/>
      <c r="I831" s="35"/>
      <c r="J831" s="35" t="str">
        <f>IF(OR(TRIM(E831)="", TRIM(H831)=""), "", IFERROR(IF(OR(VLOOKUP(E831&amp;"|"&amp;H831&amp;"", DB!$A:$N, 6, FALSE)="", VLOOKUP(E831&amp;"|"&amp;H831&amp;"", DB!$A:$N, 6, FALSE)="-"), "", VLOOKUP(E831&amp;"|"&amp;H831&amp;"", DB!$A:$N, 6, FALSE)), ""))</f>
        <v/>
      </c>
      <c r="K831" s="35"/>
      <c r="L831" s="35"/>
      <c r="M831" s="35"/>
      <c r="N831" s="35" t="str">
        <f t="shared" si="12"/>
        <v/>
      </c>
      <c r="O831" s="34"/>
      <c r="P831" s="34"/>
      <c r="Q831" s="34"/>
      <c r="R831" s="34"/>
      <c r="S831" s="34"/>
      <c r="T831" s="34"/>
      <c r="U831" s="34"/>
      <c r="V831" s="34"/>
    </row>
    <row r="832" spans="1:22">
      <c r="A832" s="35"/>
      <c r="B832" s="3"/>
      <c r="C832" s="35"/>
      <c r="D832" s="34"/>
      <c r="E832" s="34"/>
      <c r="F832" s="35"/>
      <c r="G832" s="35"/>
      <c r="H832" s="3"/>
      <c r="I832" s="35"/>
      <c r="J832" s="35" t="str">
        <f>IF(OR(TRIM(E832)="", TRIM(H832)=""), "", IFERROR(IF(OR(VLOOKUP(E832&amp;"|"&amp;H832&amp;"", DB!$A:$N, 6, FALSE)="", VLOOKUP(E832&amp;"|"&amp;H832&amp;"", DB!$A:$N, 6, FALSE)="-"), "", VLOOKUP(E832&amp;"|"&amp;H832&amp;"", DB!$A:$N, 6, FALSE)), ""))</f>
        <v/>
      </c>
      <c r="K832" s="35"/>
      <c r="L832" s="35"/>
      <c r="M832" s="35"/>
      <c r="N832" s="35" t="str">
        <f t="shared" si="12"/>
        <v/>
      </c>
      <c r="O832" s="34"/>
      <c r="P832" s="34"/>
      <c r="Q832" s="34"/>
      <c r="R832" s="34"/>
      <c r="S832" s="34"/>
      <c r="T832" s="34"/>
      <c r="U832" s="34"/>
      <c r="V832" s="34"/>
    </row>
    <row r="833" spans="1:22">
      <c r="A833" s="35"/>
      <c r="B833" s="3"/>
      <c r="C833" s="35"/>
      <c r="D833" s="34"/>
      <c r="E833" s="34"/>
      <c r="F833" s="35"/>
      <c r="G833" s="35"/>
      <c r="H833" s="3"/>
      <c r="I833" s="35"/>
      <c r="J833" s="35" t="str">
        <f>IF(OR(TRIM(E833)="", TRIM(H833)=""), "", IFERROR(IF(OR(VLOOKUP(E833&amp;"|"&amp;H833&amp;"", DB!$A:$N, 6, FALSE)="", VLOOKUP(E833&amp;"|"&amp;H833&amp;"", DB!$A:$N, 6, FALSE)="-"), "", VLOOKUP(E833&amp;"|"&amp;H833&amp;"", DB!$A:$N, 6, FALSE)), ""))</f>
        <v/>
      </c>
      <c r="K833" s="35"/>
      <c r="L833" s="35"/>
      <c r="M833" s="35"/>
      <c r="N833" s="35" t="str">
        <f t="shared" si="12"/>
        <v/>
      </c>
      <c r="O833" s="34"/>
      <c r="P833" s="34"/>
      <c r="Q833" s="34"/>
      <c r="R833" s="34"/>
      <c r="S833" s="34"/>
      <c r="T833" s="34"/>
      <c r="U833" s="34"/>
      <c r="V833" s="34"/>
    </row>
    <row r="834" spans="1:22">
      <c r="A834" s="35"/>
      <c r="B834" s="3"/>
      <c r="C834" s="35"/>
      <c r="D834" s="34"/>
      <c r="E834" s="34"/>
      <c r="F834" s="35"/>
      <c r="G834" s="35"/>
      <c r="H834" s="3"/>
      <c r="I834" s="35"/>
      <c r="J834" s="35" t="str">
        <f>IF(OR(TRIM(E834)="", TRIM(H834)=""), "", IFERROR(IF(OR(VLOOKUP(E834&amp;"|"&amp;H834&amp;"", DB!$A:$N, 6, FALSE)="", VLOOKUP(E834&amp;"|"&amp;H834&amp;"", DB!$A:$N, 6, FALSE)="-"), "", VLOOKUP(E834&amp;"|"&amp;H834&amp;"", DB!$A:$N, 6, FALSE)), ""))</f>
        <v/>
      </c>
      <c r="K834" s="35"/>
      <c r="L834" s="35"/>
      <c r="M834" s="35"/>
      <c r="N834" s="35" t="str">
        <f t="shared" ref="N834:N897" si="13">IF(TRIM(D834)="", "", IF(N(L834)-N(M834)&lt;=0, "X", N(L834)-N(M834)))</f>
        <v/>
      </c>
      <c r="O834" s="34"/>
      <c r="P834" s="34"/>
      <c r="Q834" s="34"/>
      <c r="R834" s="34"/>
      <c r="S834" s="34"/>
      <c r="T834" s="34"/>
      <c r="U834" s="34"/>
      <c r="V834" s="34"/>
    </row>
    <row r="835" spans="1:22">
      <c r="A835" s="35"/>
      <c r="B835" s="3"/>
      <c r="C835" s="35"/>
      <c r="D835" s="34"/>
      <c r="E835" s="34"/>
      <c r="F835" s="35"/>
      <c r="G835" s="35"/>
      <c r="H835" s="3"/>
      <c r="I835" s="35"/>
      <c r="J835" s="35" t="str">
        <f>IF(OR(TRIM(E835)="", TRIM(H835)=""), "", IFERROR(IF(OR(VLOOKUP(E835&amp;"|"&amp;H835&amp;"", DB!$A:$N, 6, FALSE)="", VLOOKUP(E835&amp;"|"&amp;H835&amp;"", DB!$A:$N, 6, FALSE)="-"), "", VLOOKUP(E835&amp;"|"&amp;H835&amp;"", DB!$A:$N, 6, FALSE)), ""))</f>
        <v/>
      </c>
      <c r="K835" s="35"/>
      <c r="L835" s="35"/>
      <c r="M835" s="35"/>
      <c r="N835" s="35" t="str">
        <f t="shared" si="13"/>
        <v/>
      </c>
      <c r="O835" s="34"/>
      <c r="P835" s="34"/>
      <c r="Q835" s="34"/>
      <c r="R835" s="34"/>
      <c r="S835" s="34"/>
      <c r="T835" s="34"/>
      <c r="U835" s="34"/>
      <c r="V835" s="34"/>
    </row>
    <row r="836" spans="1:22">
      <c r="A836" s="35"/>
      <c r="B836" s="3"/>
      <c r="C836" s="35"/>
      <c r="D836" s="34"/>
      <c r="E836" s="34"/>
      <c r="F836" s="35"/>
      <c r="G836" s="35"/>
      <c r="H836" s="3"/>
      <c r="I836" s="35"/>
      <c r="J836" s="35" t="str">
        <f>IF(OR(TRIM(E836)="", TRIM(H836)=""), "", IFERROR(IF(OR(VLOOKUP(E836&amp;"|"&amp;H836&amp;"", DB!$A:$N, 6, FALSE)="", VLOOKUP(E836&amp;"|"&amp;H836&amp;"", DB!$A:$N, 6, FALSE)="-"), "", VLOOKUP(E836&amp;"|"&amp;H836&amp;"", DB!$A:$N, 6, FALSE)), ""))</f>
        <v/>
      </c>
      <c r="K836" s="35"/>
      <c r="L836" s="35"/>
      <c r="M836" s="35"/>
      <c r="N836" s="35" t="str">
        <f t="shared" si="13"/>
        <v/>
      </c>
      <c r="O836" s="34"/>
      <c r="P836" s="34"/>
      <c r="Q836" s="34"/>
      <c r="R836" s="34"/>
      <c r="S836" s="34"/>
      <c r="T836" s="34"/>
      <c r="U836" s="34"/>
      <c r="V836" s="34"/>
    </row>
    <row r="837" spans="1:22">
      <c r="A837" s="35"/>
      <c r="B837" s="3"/>
      <c r="C837" s="35"/>
      <c r="D837" s="34"/>
      <c r="E837" s="34"/>
      <c r="F837" s="35"/>
      <c r="G837" s="35"/>
      <c r="H837" s="3"/>
      <c r="I837" s="35"/>
      <c r="J837" s="35" t="str">
        <f>IF(OR(TRIM(E837)="", TRIM(H837)=""), "", IFERROR(IF(OR(VLOOKUP(E837&amp;"|"&amp;H837&amp;"", DB!$A:$N, 6, FALSE)="", VLOOKUP(E837&amp;"|"&amp;H837&amp;"", DB!$A:$N, 6, FALSE)="-"), "", VLOOKUP(E837&amp;"|"&amp;H837&amp;"", DB!$A:$N, 6, FALSE)), ""))</f>
        <v/>
      </c>
      <c r="K837" s="35"/>
      <c r="L837" s="35"/>
      <c r="M837" s="35"/>
      <c r="N837" s="35" t="str">
        <f t="shared" si="13"/>
        <v/>
      </c>
      <c r="O837" s="34"/>
      <c r="P837" s="34"/>
      <c r="Q837" s="34"/>
      <c r="R837" s="34"/>
      <c r="S837" s="34"/>
      <c r="T837" s="34"/>
      <c r="U837" s="34"/>
      <c r="V837" s="34"/>
    </row>
    <row r="838" spans="1:22">
      <c r="A838" s="35"/>
      <c r="B838" s="3"/>
      <c r="C838" s="35"/>
      <c r="D838" s="34"/>
      <c r="E838" s="34"/>
      <c r="F838" s="35"/>
      <c r="G838" s="35"/>
      <c r="H838" s="3"/>
      <c r="I838" s="35"/>
      <c r="J838" s="35" t="str">
        <f>IF(OR(TRIM(E838)="", TRIM(H838)=""), "", IFERROR(IF(OR(VLOOKUP(E838&amp;"|"&amp;H838&amp;"", DB!$A:$N, 6, FALSE)="", VLOOKUP(E838&amp;"|"&amp;H838&amp;"", DB!$A:$N, 6, FALSE)="-"), "", VLOOKUP(E838&amp;"|"&amp;H838&amp;"", DB!$A:$N, 6, FALSE)), ""))</f>
        <v/>
      </c>
      <c r="K838" s="35"/>
      <c r="L838" s="35"/>
      <c r="M838" s="35"/>
      <c r="N838" s="35" t="str">
        <f t="shared" si="13"/>
        <v/>
      </c>
      <c r="O838" s="34"/>
      <c r="P838" s="34"/>
      <c r="Q838" s="34"/>
      <c r="R838" s="34"/>
      <c r="S838" s="34"/>
      <c r="T838" s="34"/>
      <c r="U838" s="34"/>
      <c r="V838" s="34"/>
    </row>
    <row r="839" spans="1:22">
      <c r="A839" s="35"/>
      <c r="B839" s="3"/>
      <c r="C839" s="35"/>
      <c r="D839" s="34"/>
      <c r="E839" s="34"/>
      <c r="F839" s="35"/>
      <c r="G839" s="35"/>
      <c r="H839" s="3"/>
      <c r="I839" s="35"/>
      <c r="J839" s="35" t="str">
        <f>IF(OR(TRIM(E839)="", TRIM(H839)=""), "", IFERROR(IF(OR(VLOOKUP(E839&amp;"|"&amp;H839&amp;"", DB!$A:$N, 6, FALSE)="", VLOOKUP(E839&amp;"|"&amp;H839&amp;"", DB!$A:$N, 6, FALSE)="-"), "", VLOOKUP(E839&amp;"|"&amp;H839&amp;"", DB!$A:$N, 6, FALSE)), ""))</f>
        <v/>
      </c>
      <c r="K839" s="35"/>
      <c r="L839" s="35"/>
      <c r="M839" s="35"/>
      <c r="N839" s="35" t="str">
        <f t="shared" si="13"/>
        <v/>
      </c>
      <c r="O839" s="34"/>
      <c r="P839" s="34"/>
      <c r="Q839" s="34"/>
      <c r="R839" s="34"/>
      <c r="S839" s="34"/>
      <c r="T839" s="34"/>
      <c r="U839" s="34"/>
      <c r="V839" s="34"/>
    </row>
    <row r="840" spans="1:22">
      <c r="A840" s="35"/>
      <c r="B840" s="3"/>
      <c r="C840" s="35"/>
      <c r="D840" s="34"/>
      <c r="E840" s="34"/>
      <c r="F840" s="35"/>
      <c r="G840" s="35"/>
      <c r="H840" s="3"/>
      <c r="I840" s="35"/>
      <c r="J840" s="35" t="str">
        <f>IF(OR(TRIM(E840)="", TRIM(H840)=""), "", IFERROR(IF(OR(VLOOKUP(E840&amp;"|"&amp;H840&amp;"", DB!$A:$N, 6, FALSE)="", VLOOKUP(E840&amp;"|"&amp;H840&amp;"", DB!$A:$N, 6, FALSE)="-"), "", VLOOKUP(E840&amp;"|"&amp;H840&amp;"", DB!$A:$N, 6, FALSE)), ""))</f>
        <v/>
      </c>
      <c r="K840" s="35"/>
      <c r="L840" s="35"/>
      <c r="M840" s="35"/>
      <c r="N840" s="35" t="str">
        <f t="shared" si="13"/>
        <v/>
      </c>
      <c r="O840" s="34"/>
      <c r="P840" s="34"/>
      <c r="Q840" s="34"/>
      <c r="R840" s="34"/>
      <c r="S840" s="34"/>
      <c r="T840" s="34"/>
      <c r="U840" s="34"/>
      <c r="V840" s="34"/>
    </row>
    <row r="841" spans="1:22">
      <c r="A841" s="35"/>
      <c r="B841" s="3"/>
      <c r="C841" s="35"/>
      <c r="D841" s="34"/>
      <c r="E841" s="34"/>
      <c r="F841" s="35"/>
      <c r="G841" s="35"/>
      <c r="H841" s="3"/>
      <c r="I841" s="35"/>
      <c r="J841" s="35" t="str">
        <f>IF(OR(TRIM(E841)="", TRIM(H841)=""), "", IFERROR(IF(OR(VLOOKUP(E841&amp;"|"&amp;H841&amp;"", DB!$A:$N, 6, FALSE)="", VLOOKUP(E841&amp;"|"&amp;H841&amp;"", DB!$A:$N, 6, FALSE)="-"), "", VLOOKUP(E841&amp;"|"&amp;H841&amp;"", DB!$A:$N, 6, FALSE)), ""))</f>
        <v/>
      </c>
      <c r="K841" s="35"/>
      <c r="L841" s="35"/>
      <c r="M841" s="35"/>
      <c r="N841" s="35" t="str">
        <f t="shared" si="13"/>
        <v/>
      </c>
      <c r="O841" s="34"/>
      <c r="P841" s="34"/>
      <c r="Q841" s="34"/>
      <c r="R841" s="34"/>
      <c r="S841" s="34"/>
      <c r="T841" s="34"/>
      <c r="U841" s="34"/>
      <c r="V841" s="34"/>
    </row>
    <row r="842" spans="1:22">
      <c r="A842" s="35"/>
      <c r="B842" s="3"/>
      <c r="C842" s="35"/>
      <c r="D842" s="34"/>
      <c r="E842" s="34"/>
      <c r="F842" s="35"/>
      <c r="G842" s="35"/>
      <c r="H842" s="3"/>
      <c r="I842" s="35"/>
      <c r="J842" s="35" t="str">
        <f>IF(OR(TRIM(E842)="", TRIM(H842)=""), "", IFERROR(IF(OR(VLOOKUP(E842&amp;"|"&amp;H842&amp;"", DB!$A:$N, 6, FALSE)="", VLOOKUP(E842&amp;"|"&amp;H842&amp;"", DB!$A:$N, 6, FALSE)="-"), "", VLOOKUP(E842&amp;"|"&amp;H842&amp;"", DB!$A:$N, 6, FALSE)), ""))</f>
        <v/>
      </c>
      <c r="K842" s="35"/>
      <c r="L842" s="35"/>
      <c r="M842" s="35"/>
      <c r="N842" s="35" t="str">
        <f t="shared" si="13"/>
        <v/>
      </c>
      <c r="O842" s="34"/>
      <c r="P842" s="34"/>
      <c r="Q842" s="34"/>
      <c r="R842" s="34"/>
      <c r="S842" s="34"/>
      <c r="T842" s="34"/>
      <c r="U842" s="34"/>
      <c r="V842" s="34"/>
    </row>
    <row r="843" spans="1:22">
      <c r="A843" s="35"/>
      <c r="B843" s="3"/>
      <c r="C843" s="35"/>
      <c r="D843" s="34"/>
      <c r="E843" s="34"/>
      <c r="F843" s="35"/>
      <c r="G843" s="35"/>
      <c r="H843" s="3"/>
      <c r="I843" s="35"/>
      <c r="J843" s="35" t="str">
        <f>IF(OR(TRIM(E843)="", TRIM(H843)=""), "", IFERROR(IF(OR(VLOOKUP(E843&amp;"|"&amp;H843&amp;"", DB!$A:$N, 6, FALSE)="", VLOOKUP(E843&amp;"|"&amp;H843&amp;"", DB!$A:$N, 6, FALSE)="-"), "", VLOOKUP(E843&amp;"|"&amp;H843&amp;"", DB!$A:$N, 6, FALSE)), ""))</f>
        <v/>
      </c>
      <c r="K843" s="35"/>
      <c r="L843" s="35"/>
      <c r="M843" s="35"/>
      <c r="N843" s="35" t="str">
        <f t="shared" si="13"/>
        <v/>
      </c>
      <c r="O843" s="34"/>
      <c r="P843" s="34"/>
      <c r="Q843" s="34"/>
      <c r="R843" s="34"/>
      <c r="S843" s="34"/>
      <c r="T843" s="34"/>
      <c r="U843" s="34"/>
      <c r="V843" s="34"/>
    </row>
    <row r="844" spans="1:22">
      <c r="A844" s="35"/>
      <c r="B844" s="3"/>
      <c r="C844" s="35"/>
      <c r="D844" s="34"/>
      <c r="E844" s="34"/>
      <c r="F844" s="35"/>
      <c r="G844" s="35"/>
      <c r="H844" s="3"/>
      <c r="I844" s="35"/>
      <c r="J844" s="35" t="str">
        <f>IF(OR(TRIM(E844)="", TRIM(H844)=""), "", IFERROR(IF(OR(VLOOKUP(E844&amp;"|"&amp;H844&amp;"", DB!$A:$N, 6, FALSE)="", VLOOKUP(E844&amp;"|"&amp;H844&amp;"", DB!$A:$N, 6, FALSE)="-"), "", VLOOKUP(E844&amp;"|"&amp;H844&amp;"", DB!$A:$N, 6, FALSE)), ""))</f>
        <v/>
      </c>
      <c r="K844" s="35"/>
      <c r="L844" s="35"/>
      <c r="M844" s="35"/>
      <c r="N844" s="35" t="str">
        <f t="shared" si="13"/>
        <v/>
      </c>
      <c r="O844" s="34"/>
      <c r="P844" s="34"/>
      <c r="Q844" s="34"/>
      <c r="R844" s="34"/>
      <c r="S844" s="34"/>
      <c r="T844" s="34"/>
      <c r="U844" s="34"/>
      <c r="V844" s="34"/>
    </row>
    <row r="845" spans="1:22">
      <c r="A845" s="35"/>
      <c r="B845" s="3"/>
      <c r="C845" s="35"/>
      <c r="D845" s="34"/>
      <c r="E845" s="34"/>
      <c r="F845" s="35"/>
      <c r="G845" s="35"/>
      <c r="H845" s="3"/>
      <c r="I845" s="35"/>
      <c r="J845" s="35" t="str">
        <f>IF(OR(TRIM(E845)="", TRIM(H845)=""), "", IFERROR(IF(OR(VLOOKUP(E845&amp;"|"&amp;H845&amp;"", DB!$A:$N, 6, FALSE)="", VLOOKUP(E845&amp;"|"&amp;H845&amp;"", DB!$A:$N, 6, FALSE)="-"), "", VLOOKUP(E845&amp;"|"&amp;H845&amp;"", DB!$A:$N, 6, FALSE)), ""))</f>
        <v/>
      </c>
      <c r="K845" s="35"/>
      <c r="L845" s="35"/>
      <c r="M845" s="35"/>
      <c r="N845" s="35" t="str">
        <f t="shared" si="13"/>
        <v/>
      </c>
      <c r="O845" s="34"/>
      <c r="P845" s="34"/>
      <c r="Q845" s="34"/>
      <c r="R845" s="34"/>
      <c r="S845" s="34"/>
      <c r="T845" s="34"/>
      <c r="U845" s="34"/>
      <c r="V845" s="34"/>
    </row>
    <row r="846" spans="1:22">
      <c r="A846" s="35"/>
      <c r="B846" s="3"/>
      <c r="C846" s="35"/>
      <c r="D846" s="34"/>
      <c r="E846" s="34"/>
      <c r="F846" s="35"/>
      <c r="G846" s="35"/>
      <c r="H846" s="3"/>
      <c r="I846" s="35"/>
      <c r="J846" s="35" t="str">
        <f>IF(OR(TRIM(E846)="", TRIM(H846)=""), "", IFERROR(IF(OR(VLOOKUP(E846&amp;"|"&amp;H846&amp;"", DB!$A:$N, 6, FALSE)="", VLOOKUP(E846&amp;"|"&amp;H846&amp;"", DB!$A:$N, 6, FALSE)="-"), "", VLOOKUP(E846&amp;"|"&amp;H846&amp;"", DB!$A:$N, 6, FALSE)), ""))</f>
        <v/>
      </c>
      <c r="K846" s="35"/>
      <c r="L846" s="35"/>
      <c r="M846" s="35"/>
      <c r="N846" s="35" t="str">
        <f t="shared" si="13"/>
        <v/>
      </c>
      <c r="O846" s="34"/>
      <c r="P846" s="34"/>
      <c r="Q846" s="34"/>
      <c r="R846" s="34"/>
      <c r="S846" s="34"/>
      <c r="T846" s="34"/>
      <c r="U846" s="34"/>
      <c r="V846" s="34"/>
    </row>
    <row r="847" spans="1:22">
      <c r="A847" s="35"/>
      <c r="B847" s="3"/>
      <c r="C847" s="35"/>
      <c r="D847" s="34"/>
      <c r="E847" s="34"/>
      <c r="F847" s="35"/>
      <c r="G847" s="35"/>
      <c r="H847" s="3"/>
      <c r="I847" s="35"/>
      <c r="J847" s="35" t="str">
        <f>IF(OR(TRIM(E847)="", TRIM(H847)=""), "", IFERROR(IF(OR(VLOOKUP(E847&amp;"|"&amp;H847&amp;"", DB!$A:$N, 6, FALSE)="", VLOOKUP(E847&amp;"|"&amp;H847&amp;"", DB!$A:$N, 6, FALSE)="-"), "", VLOOKUP(E847&amp;"|"&amp;H847&amp;"", DB!$A:$N, 6, FALSE)), ""))</f>
        <v/>
      </c>
      <c r="K847" s="35"/>
      <c r="L847" s="35"/>
      <c r="M847" s="35"/>
      <c r="N847" s="35" t="str">
        <f t="shared" si="13"/>
        <v/>
      </c>
      <c r="O847" s="34"/>
      <c r="P847" s="34"/>
      <c r="Q847" s="34"/>
      <c r="R847" s="34"/>
      <c r="S847" s="34"/>
      <c r="T847" s="34"/>
      <c r="U847" s="34"/>
      <c r="V847" s="34"/>
    </row>
    <row r="848" spans="1:22">
      <c r="A848" s="35"/>
      <c r="B848" s="3"/>
      <c r="C848" s="35"/>
      <c r="D848" s="34"/>
      <c r="E848" s="34"/>
      <c r="F848" s="35"/>
      <c r="G848" s="35"/>
      <c r="H848" s="3"/>
      <c r="I848" s="35"/>
      <c r="J848" s="35" t="str">
        <f>IF(OR(TRIM(E848)="", TRIM(H848)=""), "", IFERROR(IF(OR(VLOOKUP(E848&amp;"|"&amp;H848&amp;"", DB!$A:$N, 6, FALSE)="", VLOOKUP(E848&amp;"|"&amp;H848&amp;"", DB!$A:$N, 6, FALSE)="-"), "", VLOOKUP(E848&amp;"|"&amp;H848&amp;"", DB!$A:$N, 6, FALSE)), ""))</f>
        <v/>
      </c>
      <c r="K848" s="35"/>
      <c r="L848" s="35"/>
      <c r="M848" s="35"/>
      <c r="N848" s="35" t="str">
        <f t="shared" si="13"/>
        <v/>
      </c>
      <c r="O848" s="34"/>
      <c r="P848" s="34"/>
      <c r="Q848" s="34"/>
      <c r="R848" s="34"/>
      <c r="S848" s="34"/>
      <c r="T848" s="34"/>
      <c r="U848" s="34"/>
      <c r="V848" s="34"/>
    </row>
    <row r="849" spans="1:22">
      <c r="A849" s="35"/>
      <c r="B849" s="3"/>
      <c r="C849" s="35"/>
      <c r="D849" s="34"/>
      <c r="E849" s="34"/>
      <c r="F849" s="35"/>
      <c r="G849" s="35"/>
      <c r="H849" s="3"/>
      <c r="I849" s="35"/>
      <c r="J849" s="35" t="str">
        <f>IF(OR(TRIM(E849)="", TRIM(H849)=""), "", IFERROR(IF(OR(VLOOKUP(E849&amp;"|"&amp;H849&amp;"", DB!$A:$N, 6, FALSE)="", VLOOKUP(E849&amp;"|"&amp;H849&amp;"", DB!$A:$N, 6, FALSE)="-"), "", VLOOKUP(E849&amp;"|"&amp;H849&amp;"", DB!$A:$N, 6, FALSE)), ""))</f>
        <v/>
      </c>
      <c r="K849" s="35"/>
      <c r="L849" s="35"/>
      <c r="M849" s="35"/>
      <c r="N849" s="35" t="str">
        <f t="shared" si="13"/>
        <v/>
      </c>
      <c r="O849" s="34"/>
      <c r="P849" s="34"/>
      <c r="Q849" s="34"/>
      <c r="R849" s="34"/>
      <c r="S849" s="34"/>
      <c r="T849" s="34"/>
      <c r="U849" s="34"/>
      <c r="V849" s="34"/>
    </row>
    <row r="850" spans="1:22">
      <c r="A850" s="35"/>
      <c r="B850" s="3"/>
      <c r="C850" s="35"/>
      <c r="D850" s="34"/>
      <c r="E850" s="34"/>
      <c r="F850" s="35"/>
      <c r="G850" s="35"/>
      <c r="H850" s="3"/>
      <c r="I850" s="35"/>
      <c r="J850" s="35" t="str">
        <f>IF(OR(TRIM(E850)="", TRIM(H850)=""), "", IFERROR(IF(OR(VLOOKUP(E850&amp;"|"&amp;H850&amp;"", DB!$A:$N, 6, FALSE)="", VLOOKUP(E850&amp;"|"&amp;H850&amp;"", DB!$A:$N, 6, FALSE)="-"), "", VLOOKUP(E850&amp;"|"&amp;H850&amp;"", DB!$A:$N, 6, FALSE)), ""))</f>
        <v/>
      </c>
      <c r="K850" s="35"/>
      <c r="L850" s="35"/>
      <c r="M850" s="35"/>
      <c r="N850" s="35" t="str">
        <f t="shared" si="13"/>
        <v/>
      </c>
      <c r="O850" s="34"/>
      <c r="P850" s="34"/>
      <c r="Q850" s="34"/>
      <c r="R850" s="34"/>
      <c r="S850" s="34"/>
      <c r="T850" s="34"/>
      <c r="U850" s="34"/>
      <c r="V850" s="34"/>
    </row>
    <row r="851" spans="1:22">
      <c r="A851" s="35"/>
      <c r="B851" s="3"/>
      <c r="C851" s="35"/>
      <c r="D851" s="34"/>
      <c r="E851" s="34"/>
      <c r="F851" s="35"/>
      <c r="G851" s="35"/>
      <c r="H851" s="3"/>
      <c r="I851" s="35"/>
      <c r="J851" s="35" t="str">
        <f>IF(OR(TRIM(E851)="", TRIM(H851)=""), "", IFERROR(IF(OR(VLOOKUP(E851&amp;"|"&amp;H851&amp;"", DB!$A:$N, 6, FALSE)="", VLOOKUP(E851&amp;"|"&amp;H851&amp;"", DB!$A:$N, 6, FALSE)="-"), "", VLOOKUP(E851&amp;"|"&amp;H851&amp;"", DB!$A:$N, 6, FALSE)), ""))</f>
        <v/>
      </c>
      <c r="K851" s="35"/>
      <c r="L851" s="35"/>
      <c r="M851" s="35"/>
      <c r="N851" s="35" t="str">
        <f t="shared" si="13"/>
        <v/>
      </c>
      <c r="O851" s="34"/>
      <c r="P851" s="34"/>
      <c r="Q851" s="34"/>
      <c r="R851" s="34"/>
      <c r="S851" s="34"/>
      <c r="T851" s="34"/>
      <c r="U851" s="34"/>
      <c r="V851" s="34"/>
    </row>
    <row r="852" spans="1:22">
      <c r="A852" s="35"/>
      <c r="B852" s="3"/>
      <c r="C852" s="35"/>
      <c r="D852" s="34"/>
      <c r="E852" s="34"/>
      <c r="F852" s="35"/>
      <c r="G852" s="35"/>
      <c r="H852" s="3"/>
      <c r="I852" s="35"/>
      <c r="J852" s="35" t="str">
        <f>IF(OR(TRIM(E852)="", TRIM(H852)=""), "", IFERROR(IF(OR(VLOOKUP(E852&amp;"|"&amp;H852&amp;"", DB!$A:$N, 6, FALSE)="", VLOOKUP(E852&amp;"|"&amp;H852&amp;"", DB!$A:$N, 6, FALSE)="-"), "", VLOOKUP(E852&amp;"|"&amp;H852&amp;"", DB!$A:$N, 6, FALSE)), ""))</f>
        <v/>
      </c>
      <c r="K852" s="35"/>
      <c r="L852" s="35"/>
      <c r="M852" s="35"/>
      <c r="N852" s="35" t="str">
        <f t="shared" si="13"/>
        <v/>
      </c>
      <c r="O852" s="34"/>
      <c r="P852" s="34"/>
      <c r="Q852" s="34"/>
      <c r="R852" s="34"/>
      <c r="S852" s="34"/>
      <c r="T852" s="34"/>
      <c r="U852" s="34"/>
      <c r="V852" s="34"/>
    </row>
    <row r="853" spans="1:22">
      <c r="A853" s="35"/>
      <c r="B853" s="3"/>
      <c r="C853" s="35"/>
      <c r="D853" s="34"/>
      <c r="E853" s="34"/>
      <c r="F853" s="35"/>
      <c r="G853" s="35"/>
      <c r="H853" s="3"/>
      <c r="I853" s="35"/>
      <c r="J853" s="35" t="str">
        <f>IF(OR(TRIM(E853)="", TRIM(H853)=""), "", IFERROR(IF(OR(VLOOKUP(E853&amp;"|"&amp;H853&amp;"", DB!$A:$N, 6, FALSE)="", VLOOKUP(E853&amp;"|"&amp;H853&amp;"", DB!$A:$N, 6, FALSE)="-"), "", VLOOKUP(E853&amp;"|"&amp;H853&amp;"", DB!$A:$N, 6, FALSE)), ""))</f>
        <v/>
      </c>
      <c r="K853" s="35"/>
      <c r="L853" s="35"/>
      <c r="M853" s="35"/>
      <c r="N853" s="35" t="str">
        <f t="shared" si="13"/>
        <v/>
      </c>
      <c r="O853" s="34"/>
      <c r="P853" s="34"/>
      <c r="Q853" s="34"/>
      <c r="R853" s="34"/>
      <c r="S853" s="34"/>
      <c r="T853" s="34"/>
      <c r="U853" s="34"/>
      <c r="V853" s="34"/>
    </row>
    <row r="854" spans="1:22">
      <c r="A854" s="35"/>
      <c r="B854" s="3"/>
      <c r="C854" s="35"/>
      <c r="D854" s="34"/>
      <c r="E854" s="34"/>
      <c r="F854" s="35"/>
      <c r="G854" s="35"/>
      <c r="H854" s="3"/>
      <c r="I854" s="35"/>
      <c r="J854" s="35" t="str">
        <f>IF(OR(TRIM(E854)="", TRIM(H854)=""), "", IFERROR(IF(OR(VLOOKUP(E854&amp;"|"&amp;H854&amp;"", DB!$A:$N, 6, FALSE)="", VLOOKUP(E854&amp;"|"&amp;H854&amp;"", DB!$A:$N, 6, FALSE)="-"), "", VLOOKUP(E854&amp;"|"&amp;H854&amp;"", DB!$A:$N, 6, FALSE)), ""))</f>
        <v/>
      </c>
      <c r="K854" s="35"/>
      <c r="L854" s="35"/>
      <c r="M854" s="35"/>
      <c r="N854" s="35" t="str">
        <f t="shared" si="13"/>
        <v/>
      </c>
      <c r="O854" s="34"/>
      <c r="P854" s="34"/>
      <c r="Q854" s="34"/>
      <c r="R854" s="34"/>
      <c r="S854" s="34"/>
      <c r="T854" s="34"/>
      <c r="U854" s="34"/>
      <c r="V854" s="34"/>
    </row>
    <row r="855" spans="1:22">
      <c r="A855" s="35"/>
      <c r="B855" s="3"/>
      <c r="C855" s="35"/>
      <c r="D855" s="34"/>
      <c r="E855" s="34"/>
      <c r="F855" s="35"/>
      <c r="G855" s="35"/>
      <c r="H855" s="3"/>
      <c r="I855" s="35"/>
      <c r="J855" s="35" t="str">
        <f>IF(OR(TRIM(E855)="", TRIM(H855)=""), "", IFERROR(IF(OR(VLOOKUP(E855&amp;"|"&amp;H855&amp;"", DB!$A:$N, 6, FALSE)="", VLOOKUP(E855&amp;"|"&amp;H855&amp;"", DB!$A:$N, 6, FALSE)="-"), "", VLOOKUP(E855&amp;"|"&amp;H855&amp;"", DB!$A:$N, 6, FALSE)), ""))</f>
        <v/>
      </c>
      <c r="K855" s="35"/>
      <c r="L855" s="35"/>
      <c r="M855" s="35"/>
      <c r="N855" s="35" t="str">
        <f t="shared" si="13"/>
        <v/>
      </c>
      <c r="O855" s="34"/>
      <c r="P855" s="34"/>
      <c r="Q855" s="34"/>
      <c r="R855" s="34"/>
      <c r="S855" s="34"/>
      <c r="T855" s="34"/>
      <c r="U855" s="34"/>
      <c r="V855" s="34"/>
    </row>
    <row r="856" spans="1:22">
      <c r="A856" s="35"/>
      <c r="B856" s="3"/>
      <c r="C856" s="35"/>
      <c r="D856" s="34"/>
      <c r="E856" s="34"/>
      <c r="F856" s="35"/>
      <c r="G856" s="35"/>
      <c r="H856" s="3"/>
      <c r="I856" s="35"/>
      <c r="J856" s="35" t="str">
        <f>IF(OR(TRIM(E856)="", TRIM(H856)=""), "", IFERROR(IF(OR(VLOOKUP(E856&amp;"|"&amp;H856&amp;"", DB!$A:$N, 6, FALSE)="", VLOOKUP(E856&amp;"|"&amp;H856&amp;"", DB!$A:$N, 6, FALSE)="-"), "", VLOOKUP(E856&amp;"|"&amp;H856&amp;"", DB!$A:$N, 6, FALSE)), ""))</f>
        <v/>
      </c>
      <c r="K856" s="35"/>
      <c r="L856" s="35"/>
      <c r="M856" s="35"/>
      <c r="N856" s="35" t="str">
        <f t="shared" si="13"/>
        <v/>
      </c>
      <c r="O856" s="34"/>
      <c r="P856" s="34"/>
      <c r="Q856" s="34"/>
      <c r="R856" s="34"/>
      <c r="S856" s="34"/>
      <c r="T856" s="34"/>
      <c r="U856" s="34"/>
      <c r="V856" s="34"/>
    </row>
    <row r="857" spans="1:22">
      <c r="A857" s="35"/>
      <c r="B857" s="3"/>
      <c r="C857" s="35"/>
      <c r="D857" s="34"/>
      <c r="E857" s="34"/>
      <c r="F857" s="35"/>
      <c r="G857" s="35"/>
      <c r="H857" s="3"/>
      <c r="I857" s="35"/>
      <c r="J857" s="35" t="str">
        <f>IF(OR(TRIM(E857)="", TRIM(H857)=""), "", IFERROR(IF(OR(VLOOKUP(E857&amp;"|"&amp;H857&amp;"", DB!$A:$N, 6, FALSE)="", VLOOKUP(E857&amp;"|"&amp;H857&amp;"", DB!$A:$N, 6, FALSE)="-"), "", VLOOKUP(E857&amp;"|"&amp;H857&amp;"", DB!$A:$N, 6, FALSE)), ""))</f>
        <v/>
      </c>
      <c r="K857" s="35"/>
      <c r="L857" s="35"/>
      <c r="M857" s="35"/>
      <c r="N857" s="35" t="str">
        <f t="shared" si="13"/>
        <v/>
      </c>
      <c r="O857" s="34"/>
      <c r="P857" s="34"/>
      <c r="Q857" s="34"/>
      <c r="R857" s="34"/>
      <c r="S857" s="34"/>
      <c r="T857" s="34"/>
      <c r="U857" s="34"/>
      <c r="V857" s="34"/>
    </row>
    <row r="858" spans="1:22">
      <c r="A858" s="35"/>
      <c r="B858" s="3"/>
      <c r="C858" s="35"/>
      <c r="D858" s="34"/>
      <c r="E858" s="34"/>
      <c r="F858" s="35"/>
      <c r="G858" s="35"/>
      <c r="H858" s="3"/>
      <c r="I858" s="35"/>
      <c r="J858" s="35" t="str">
        <f>IF(OR(TRIM(E858)="", TRIM(H858)=""), "", IFERROR(IF(OR(VLOOKUP(E858&amp;"|"&amp;H858&amp;"", DB!$A:$N, 6, FALSE)="", VLOOKUP(E858&amp;"|"&amp;H858&amp;"", DB!$A:$N, 6, FALSE)="-"), "", VLOOKUP(E858&amp;"|"&amp;H858&amp;"", DB!$A:$N, 6, FALSE)), ""))</f>
        <v/>
      </c>
      <c r="K858" s="35"/>
      <c r="L858" s="35"/>
      <c r="M858" s="35"/>
      <c r="N858" s="35" t="str">
        <f t="shared" si="13"/>
        <v/>
      </c>
      <c r="O858" s="34"/>
      <c r="P858" s="34"/>
      <c r="Q858" s="34"/>
      <c r="R858" s="34"/>
      <c r="S858" s="34"/>
      <c r="T858" s="34"/>
      <c r="U858" s="34"/>
      <c r="V858" s="34"/>
    </row>
    <row r="859" spans="1:22">
      <c r="A859" s="35"/>
      <c r="B859" s="3"/>
      <c r="C859" s="35"/>
      <c r="D859" s="34"/>
      <c r="E859" s="34"/>
      <c r="F859" s="35"/>
      <c r="G859" s="35"/>
      <c r="H859" s="3"/>
      <c r="I859" s="35"/>
      <c r="J859" s="35" t="str">
        <f>IF(OR(TRIM(E859)="", TRIM(H859)=""), "", IFERROR(IF(OR(VLOOKUP(E859&amp;"|"&amp;H859&amp;"", DB!$A:$N, 6, FALSE)="", VLOOKUP(E859&amp;"|"&amp;H859&amp;"", DB!$A:$N, 6, FALSE)="-"), "", VLOOKUP(E859&amp;"|"&amp;H859&amp;"", DB!$A:$N, 6, FALSE)), ""))</f>
        <v/>
      </c>
      <c r="K859" s="35"/>
      <c r="L859" s="35"/>
      <c r="M859" s="35"/>
      <c r="N859" s="35" t="str">
        <f t="shared" si="13"/>
        <v/>
      </c>
      <c r="O859" s="34"/>
      <c r="P859" s="34"/>
      <c r="Q859" s="34"/>
      <c r="R859" s="34"/>
      <c r="S859" s="34"/>
      <c r="T859" s="34"/>
      <c r="U859" s="34"/>
      <c r="V859" s="34"/>
    </row>
    <row r="860" spans="1:22">
      <c r="A860" s="35"/>
      <c r="B860" s="3"/>
      <c r="C860" s="35"/>
      <c r="D860" s="34"/>
      <c r="E860" s="34"/>
      <c r="F860" s="35"/>
      <c r="G860" s="35"/>
      <c r="H860" s="3"/>
      <c r="I860" s="35"/>
      <c r="J860" s="35" t="str">
        <f>IF(OR(TRIM(E860)="", TRIM(H860)=""), "", IFERROR(IF(OR(VLOOKUP(E860&amp;"|"&amp;H860&amp;"", DB!$A:$N, 6, FALSE)="", VLOOKUP(E860&amp;"|"&amp;H860&amp;"", DB!$A:$N, 6, FALSE)="-"), "", VLOOKUP(E860&amp;"|"&amp;H860&amp;"", DB!$A:$N, 6, FALSE)), ""))</f>
        <v/>
      </c>
      <c r="K860" s="35"/>
      <c r="L860" s="35"/>
      <c r="M860" s="35"/>
      <c r="N860" s="35" t="str">
        <f t="shared" si="13"/>
        <v/>
      </c>
      <c r="O860" s="34"/>
      <c r="P860" s="34"/>
      <c r="Q860" s="34"/>
      <c r="R860" s="34"/>
      <c r="S860" s="34"/>
      <c r="T860" s="34"/>
      <c r="U860" s="34"/>
      <c r="V860" s="34"/>
    </row>
    <row r="861" spans="1:22">
      <c r="A861" s="35"/>
      <c r="B861" s="3"/>
      <c r="C861" s="35"/>
      <c r="D861" s="34"/>
      <c r="E861" s="34"/>
      <c r="F861" s="35"/>
      <c r="G861" s="35"/>
      <c r="H861" s="3"/>
      <c r="I861" s="35"/>
      <c r="J861" s="35" t="str">
        <f>IF(OR(TRIM(E861)="", TRIM(H861)=""), "", IFERROR(IF(OR(VLOOKUP(E861&amp;"|"&amp;H861&amp;"", DB!$A:$N, 6, FALSE)="", VLOOKUP(E861&amp;"|"&amp;H861&amp;"", DB!$A:$N, 6, FALSE)="-"), "", VLOOKUP(E861&amp;"|"&amp;H861&amp;"", DB!$A:$N, 6, FALSE)), ""))</f>
        <v/>
      </c>
      <c r="K861" s="35"/>
      <c r="L861" s="35"/>
      <c r="M861" s="35"/>
      <c r="N861" s="35" t="str">
        <f t="shared" si="13"/>
        <v/>
      </c>
      <c r="O861" s="34"/>
      <c r="P861" s="34"/>
      <c r="Q861" s="34"/>
      <c r="R861" s="34"/>
      <c r="S861" s="34"/>
      <c r="T861" s="34"/>
      <c r="U861" s="34"/>
      <c r="V861" s="34"/>
    </row>
    <row r="862" spans="1:22">
      <c r="A862" s="35"/>
      <c r="B862" s="3"/>
      <c r="C862" s="35"/>
      <c r="D862" s="34"/>
      <c r="E862" s="34"/>
      <c r="F862" s="35"/>
      <c r="G862" s="35"/>
      <c r="H862" s="3"/>
      <c r="I862" s="35"/>
      <c r="J862" s="35" t="str">
        <f>IF(OR(TRIM(E862)="", TRIM(H862)=""), "", IFERROR(IF(OR(VLOOKUP(E862&amp;"|"&amp;H862&amp;"", DB!$A:$N, 6, FALSE)="", VLOOKUP(E862&amp;"|"&amp;H862&amp;"", DB!$A:$N, 6, FALSE)="-"), "", VLOOKUP(E862&amp;"|"&amp;H862&amp;"", DB!$A:$N, 6, FALSE)), ""))</f>
        <v/>
      </c>
      <c r="K862" s="35"/>
      <c r="L862" s="35"/>
      <c r="M862" s="35"/>
      <c r="N862" s="35" t="str">
        <f t="shared" si="13"/>
        <v/>
      </c>
      <c r="O862" s="34"/>
      <c r="P862" s="34"/>
      <c r="Q862" s="34"/>
      <c r="R862" s="34"/>
      <c r="S862" s="34"/>
      <c r="T862" s="34"/>
      <c r="U862" s="34"/>
      <c r="V862" s="34"/>
    </row>
    <row r="863" spans="1:22">
      <c r="A863" s="35"/>
      <c r="B863" s="3"/>
      <c r="C863" s="35"/>
      <c r="D863" s="34"/>
      <c r="E863" s="34"/>
      <c r="F863" s="35"/>
      <c r="G863" s="35"/>
      <c r="H863" s="3"/>
      <c r="I863" s="35"/>
      <c r="J863" s="35" t="str">
        <f>IF(OR(TRIM(E863)="", TRIM(H863)=""), "", IFERROR(IF(OR(VLOOKUP(E863&amp;"|"&amp;H863&amp;"", DB!$A:$N, 6, FALSE)="", VLOOKUP(E863&amp;"|"&amp;H863&amp;"", DB!$A:$N, 6, FALSE)="-"), "", VLOOKUP(E863&amp;"|"&amp;H863&amp;"", DB!$A:$N, 6, FALSE)), ""))</f>
        <v/>
      </c>
      <c r="K863" s="35"/>
      <c r="L863" s="35"/>
      <c r="M863" s="35"/>
      <c r="N863" s="35" t="str">
        <f t="shared" si="13"/>
        <v/>
      </c>
      <c r="O863" s="34"/>
      <c r="P863" s="34"/>
      <c r="Q863" s="34"/>
      <c r="R863" s="34"/>
      <c r="S863" s="34"/>
      <c r="T863" s="34"/>
      <c r="U863" s="34"/>
      <c r="V863" s="34"/>
    </row>
    <row r="864" spans="1:22">
      <c r="A864" s="35"/>
      <c r="B864" s="3"/>
      <c r="C864" s="35"/>
      <c r="D864" s="34"/>
      <c r="E864" s="34"/>
      <c r="F864" s="35"/>
      <c r="G864" s="35"/>
      <c r="H864" s="3"/>
      <c r="I864" s="35"/>
      <c r="J864" s="35" t="str">
        <f>IF(OR(TRIM(E864)="", TRIM(H864)=""), "", IFERROR(IF(OR(VLOOKUP(E864&amp;"|"&amp;H864&amp;"", DB!$A:$N, 6, FALSE)="", VLOOKUP(E864&amp;"|"&amp;H864&amp;"", DB!$A:$N, 6, FALSE)="-"), "", VLOOKUP(E864&amp;"|"&amp;H864&amp;"", DB!$A:$N, 6, FALSE)), ""))</f>
        <v/>
      </c>
      <c r="K864" s="35"/>
      <c r="L864" s="35"/>
      <c r="M864" s="35"/>
      <c r="N864" s="35" t="str">
        <f t="shared" si="13"/>
        <v/>
      </c>
      <c r="O864" s="34"/>
      <c r="P864" s="34"/>
      <c r="Q864" s="34"/>
      <c r="R864" s="34"/>
      <c r="S864" s="34"/>
      <c r="T864" s="34"/>
      <c r="U864" s="34"/>
      <c r="V864" s="34"/>
    </row>
    <row r="865" spans="1:22">
      <c r="A865" s="35"/>
      <c r="B865" s="3"/>
      <c r="C865" s="35"/>
      <c r="D865" s="34"/>
      <c r="E865" s="34"/>
      <c r="F865" s="35"/>
      <c r="G865" s="35"/>
      <c r="H865" s="3"/>
      <c r="I865" s="35"/>
      <c r="J865" s="35" t="str">
        <f>IF(OR(TRIM(E865)="", TRIM(H865)=""), "", IFERROR(IF(OR(VLOOKUP(E865&amp;"|"&amp;H865&amp;"", DB!$A:$N, 6, FALSE)="", VLOOKUP(E865&amp;"|"&amp;H865&amp;"", DB!$A:$N, 6, FALSE)="-"), "", VLOOKUP(E865&amp;"|"&amp;H865&amp;"", DB!$A:$N, 6, FALSE)), ""))</f>
        <v/>
      </c>
      <c r="K865" s="35"/>
      <c r="L865" s="35"/>
      <c r="M865" s="35"/>
      <c r="N865" s="35" t="str">
        <f t="shared" si="13"/>
        <v/>
      </c>
      <c r="O865" s="34"/>
      <c r="P865" s="34"/>
      <c r="Q865" s="34"/>
      <c r="R865" s="34"/>
      <c r="S865" s="34"/>
      <c r="T865" s="34"/>
      <c r="U865" s="34"/>
      <c r="V865" s="34"/>
    </row>
    <row r="866" spans="1:22">
      <c r="A866" s="35"/>
      <c r="B866" s="3"/>
      <c r="C866" s="35"/>
      <c r="D866" s="34"/>
      <c r="E866" s="34"/>
      <c r="F866" s="35"/>
      <c r="G866" s="35"/>
      <c r="H866" s="3"/>
      <c r="I866" s="35"/>
      <c r="J866" s="35" t="str">
        <f>IF(OR(TRIM(E866)="", TRIM(H866)=""), "", IFERROR(IF(OR(VLOOKUP(E866&amp;"|"&amp;H866&amp;"", DB!$A:$N, 6, FALSE)="", VLOOKUP(E866&amp;"|"&amp;H866&amp;"", DB!$A:$N, 6, FALSE)="-"), "", VLOOKUP(E866&amp;"|"&amp;H866&amp;"", DB!$A:$N, 6, FALSE)), ""))</f>
        <v/>
      </c>
      <c r="K866" s="35"/>
      <c r="L866" s="35"/>
      <c r="M866" s="35"/>
      <c r="N866" s="35" t="str">
        <f t="shared" si="13"/>
        <v/>
      </c>
      <c r="O866" s="34"/>
      <c r="P866" s="34"/>
      <c r="Q866" s="34"/>
      <c r="R866" s="34"/>
      <c r="S866" s="34"/>
      <c r="T866" s="34"/>
      <c r="U866" s="34"/>
      <c r="V866" s="34"/>
    </row>
    <row r="867" spans="1:22">
      <c r="A867" s="35"/>
      <c r="B867" s="3"/>
      <c r="C867" s="35"/>
      <c r="D867" s="34"/>
      <c r="E867" s="34"/>
      <c r="F867" s="35"/>
      <c r="G867" s="35"/>
      <c r="H867" s="3"/>
      <c r="I867" s="35"/>
      <c r="J867" s="35" t="str">
        <f>IF(OR(TRIM(E867)="", TRIM(H867)=""), "", IFERROR(IF(OR(VLOOKUP(E867&amp;"|"&amp;H867&amp;"", DB!$A:$N, 6, FALSE)="", VLOOKUP(E867&amp;"|"&amp;H867&amp;"", DB!$A:$N, 6, FALSE)="-"), "", VLOOKUP(E867&amp;"|"&amp;H867&amp;"", DB!$A:$N, 6, FALSE)), ""))</f>
        <v/>
      </c>
      <c r="K867" s="35"/>
      <c r="L867" s="35"/>
      <c r="M867" s="35"/>
      <c r="N867" s="35" t="str">
        <f t="shared" si="13"/>
        <v/>
      </c>
      <c r="O867" s="34"/>
      <c r="P867" s="34"/>
      <c r="Q867" s="34"/>
      <c r="R867" s="34"/>
      <c r="S867" s="34"/>
      <c r="T867" s="34"/>
      <c r="U867" s="34"/>
      <c r="V867" s="34"/>
    </row>
    <row r="868" spans="1:22">
      <c r="A868" s="35"/>
      <c r="B868" s="3"/>
      <c r="C868" s="35"/>
      <c r="D868" s="34"/>
      <c r="E868" s="34"/>
      <c r="F868" s="35"/>
      <c r="G868" s="35"/>
      <c r="H868" s="3"/>
      <c r="I868" s="35"/>
      <c r="J868" s="35" t="str">
        <f>IF(OR(TRIM(E868)="", TRIM(H868)=""), "", IFERROR(IF(OR(VLOOKUP(E868&amp;"|"&amp;H868&amp;"", DB!$A:$N, 6, FALSE)="", VLOOKUP(E868&amp;"|"&amp;H868&amp;"", DB!$A:$N, 6, FALSE)="-"), "", VLOOKUP(E868&amp;"|"&amp;H868&amp;"", DB!$A:$N, 6, FALSE)), ""))</f>
        <v/>
      </c>
      <c r="K868" s="35"/>
      <c r="L868" s="35"/>
      <c r="M868" s="35"/>
      <c r="N868" s="35" t="str">
        <f t="shared" si="13"/>
        <v/>
      </c>
      <c r="O868" s="34"/>
      <c r="P868" s="34"/>
      <c r="Q868" s="34"/>
      <c r="R868" s="34"/>
      <c r="S868" s="34"/>
      <c r="T868" s="34"/>
      <c r="U868" s="34"/>
      <c r="V868" s="34"/>
    </row>
    <row r="869" spans="1:22">
      <c r="A869" s="35"/>
      <c r="B869" s="3"/>
      <c r="C869" s="35"/>
      <c r="D869" s="34"/>
      <c r="E869" s="34"/>
      <c r="F869" s="35"/>
      <c r="G869" s="35"/>
      <c r="H869" s="3"/>
      <c r="I869" s="35"/>
      <c r="J869" s="35" t="str">
        <f>IF(OR(TRIM(E869)="", TRIM(H869)=""), "", IFERROR(IF(OR(VLOOKUP(E869&amp;"|"&amp;H869&amp;"", DB!$A:$N, 6, FALSE)="", VLOOKUP(E869&amp;"|"&amp;H869&amp;"", DB!$A:$N, 6, FALSE)="-"), "", VLOOKUP(E869&amp;"|"&amp;H869&amp;"", DB!$A:$N, 6, FALSE)), ""))</f>
        <v/>
      </c>
      <c r="K869" s="35"/>
      <c r="L869" s="35"/>
      <c r="M869" s="35"/>
      <c r="N869" s="35" t="str">
        <f t="shared" si="13"/>
        <v/>
      </c>
      <c r="O869" s="34"/>
      <c r="P869" s="34"/>
      <c r="Q869" s="34"/>
      <c r="R869" s="34"/>
      <c r="S869" s="34"/>
      <c r="T869" s="34"/>
      <c r="U869" s="34"/>
      <c r="V869" s="34"/>
    </row>
    <row r="870" spans="1:22">
      <c r="A870" s="35"/>
      <c r="B870" s="3"/>
      <c r="C870" s="35"/>
      <c r="D870" s="34"/>
      <c r="E870" s="34"/>
      <c r="F870" s="35"/>
      <c r="G870" s="35"/>
      <c r="H870" s="3"/>
      <c r="I870" s="35"/>
      <c r="J870" s="35" t="str">
        <f>IF(OR(TRIM(E870)="", TRIM(H870)=""), "", IFERROR(IF(OR(VLOOKUP(E870&amp;"|"&amp;H870&amp;"", DB!$A:$N, 6, FALSE)="", VLOOKUP(E870&amp;"|"&amp;H870&amp;"", DB!$A:$N, 6, FALSE)="-"), "", VLOOKUP(E870&amp;"|"&amp;H870&amp;"", DB!$A:$N, 6, FALSE)), ""))</f>
        <v/>
      </c>
      <c r="K870" s="35"/>
      <c r="L870" s="35"/>
      <c r="M870" s="35"/>
      <c r="N870" s="35" t="str">
        <f t="shared" si="13"/>
        <v/>
      </c>
      <c r="O870" s="34"/>
      <c r="P870" s="34"/>
      <c r="Q870" s="34"/>
      <c r="R870" s="34"/>
      <c r="S870" s="34"/>
      <c r="T870" s="34"/>
      <c r="U870" s="34"/>
      <c r="V870" s="34"/>
    </row>
    <row r="871" spans="1:22">
      <c r="A871" s="35"/>
      <c r="B871" s="3"/>
      <c r="C871" s="35"/>
      <c r="D871" s="34"/>
      <c r="E871" s="34"/>
      <c r="F871" s="35"/>
      <c r="G871" s="35"/>
      <c r="H871" s="3"/>
      <c r="I871" s="35"/>
      <c r="J871" s="35" t="str">
        <f>IF(OR(TRIM(E871)="", TRIM(H871)=""), "", IFERROR(IF(OR(VLOOKUP(E871&amp;"|"&amp;H871&amp;"", DB!$A:$N, 6, FALSE)="", VLOOKUP(E871&amp;"|"&amp;H871&amp;"", DB!$A:$N, 6, FALSE)="-"), "", VLOOKUP(E871&amp;"|"&amp;H871&amp;"", DB!$A:$N, 6, FALSE)), ""))</f>
        <v/>
      </c>
      <c r="K871" s="35"/>
      <c r="L871" s="35"/>
      <c r="M871" s="35"/>
      <c r="N871" s="35" t="str">
        <f t="shared" si="13"/>
        <v/>
      </c>
      <c r="O871" s="34"/>
      <c r="P871" s="34"/>
      <c r="Q871" s="34"/>
      <c r="R871" s="34"/>
      <c r="S871" s="34"/>
      <c r="T871" s="34"/>
      <c r="U871" s="34"/>
      <c r="V871" s="34"/>
    </row>
    <row r="872" spans="1:22">
      <c r="A872" s="35"/>
      <c r="B872" s="3"/>
      <c r="C872" s="35"/>
      <c r="D872" s="34"/>
      <c r="E872" s="34"/>
      <c r="F872" s="35"/>
      <c r="G872" s="35"/>
      <c r="H872" s="3"/>
      <c r="I872" s="35"/>
      <c r="J872" s="35" t="str">
        <f>IF(OR(TRIM(E872)="", TRIM(H872)=""), "", IFERROR(IF(OR(VLOOKUP(E872&amp;"|"&amp;H872&amp;"", DB!$A:$N, 6, FALSE)="", VLOOKUP(E872&amp;"|"&amp;H872&amp;"", DB!$A:$N, 6, FALSE)="-"), "", VLOOKUP(E872&amp;"|"&amp;H872&amp;"", DB!$A:$N, 6, FALSE)), ""))</f>
        <v/>
      </c>
      <c r="K872" s="35"/>
      <c r="L872" s="35"/>
      <c r="M872" s="35"/>
      <c r="N872" s="35" t="str">
        <f t="shared" si="13"/>
        <v/>
      </c>
      <c r="O872" s="34"/>
      <c r="P872" s="34"/>
      <c r="Q872" s="34"/>
      <c r="R872" s="34"/>
      <c r="S872" s="34"/>
      <c r="T872" s="34"/>
      <c r="U872" s="34"/>
      <c r="V872" s="34"/>
    </row>
    <row r="873" spans="1:22">
      <c r="A873" s="35"/>
      <c r="B873" s="3"/>
      <c r="C873" s="35"/>
      <c r="D873" s="34"/>
      <c r="E873" s="34"/>
      <c r="F873" s="35"/>
      <c r="G873" s="35"/>
      <c r="H873" s="3"/>
      <c r="I873" s="35"/>
      <c r="J873" s="35" t="str">
        <f>IF(OR(TRIM(E873)="", TRIM(H873)=""), "", IFERROR(IF(OR(VLOOKUP(E873&amp;"|"&amp;H873&amp;"", DB!$A:$N, 6, FALSE)="", VLOOKUP(E873&amp;"|"&amp;H873&amp;"", DB!$A:$N, 6, FALSE)="-"), "", VLOOKUP(E873&amp;"|"&amp;H873&amp;"", DB!$A:$N, 6, FALSE)), ""))</f>
        <v/>
      </c>
      <c r="K873" s="35"/>
      <c r="L873" s="35"/>
      <c r="M873" s="35"/>
      <c r="N873" s="35" t="str">
        <f t="shared" si="13"/>
        <v/>
      </c>
      <c r="O873" s="34"/>
      <c r="P873" s="34"/>
      <c r="Q873" s="34"/>
      <c r="R873" s="34"/>
      <c r="S873" s="34"/>
      <c r="T873" s="34"/>
      <c r="U873" s="34"/>
      <c r="V873" s="34"/>
    </row>
    <row r="874" spans="1:22">
      <c r="A874" s="35"/>
      <c r="B874" s="3"/>
      <c r="C874" s="35"/>
      <c r="D874" s="34"/>
      <c r="E874" s="34"/>
      <c r="F874" s="35"/>
      <c r="G874" s="35"/>
      <c r="H874" s="3"/>
      <c r="I874" s="35"/>
      <c r="J874" s="35" t="str">
        <f>IF(OR(TRIM(E874)="", TRIM(H874)=""), "", IFERROR(IF(OR(VLOOKUP(E874&amp;"|"&amp;H874&amp;"", DB!$A:$N, 6, FALSE)="", VLOOKUP(E874&amp;"|"&amp;H874&amp;"", DB!$A:$N, 6, FALSE)="-"), "", VLOOKUP(E874&amp;"|"&amp;H874&amp;"", DB!$A:$N, 6, FALSE)), ""))</f>
        <v/>
      </c>
      <c r="K874" s="35"/>
      <c r="L874" s="35"/>
      <c r="M874" s="35"/>
      <c r="N874" s="35" t="str">
        <f t="shared" si="13"/>
        <v/>
      </c>
      <c r="O874" s="34"/>
      <c r="P874" s="34"/>
      <c r="Q874" s="34"/>
      <c r="R874" s="34"/>
      <c r="S874" s="34"/>
      <c r="T874" s="34"/>
      <c r="U874" s="34"/>
      <c r="V874" s="34"/>
    </row>
    <row r="875" spans="1:22">
      <c r="A875" s="35"/>
      <c r="B875" s="3"/>
      <c r="C875" s="35"/>
      <c r="D875" s="34"/>
      <c r="E875" s="34"/>
      <c r="F875" s="35"/>
      <c r="G875" s="35"/>
      <c r="H875" s="3"/>
      <c r="I875" s="35"/>
      <c r="J875" s="35" t="str">
        <f>IF(OR(TRIM(E875)="", TRIM(H875)=""), "", IFERROR(IF(OR(VLOOKUP(E875&amp;"|"&amp;H875&amp;"", DB!$A:$N, 6, FALSE)="", VLOOKUP(E875&amp;"|"&amp;H875&amp;"", DB!$A:$N, 6, FALSE)="-"), "", VLOOKUP(E875&amp;"|"&amp;H875&amp;"", DB!$A:$N, 6, FALSE)), ""))</f>
        <v/>
      </c>
      <c r="K875" s="35"/>
      <c r="L875" s="35"/>
      <c r="M875" s="35"/>
      <c r="N875" s="35" t="str">
        <f t="shared" si="13"/>
        <v/>
      </c>
      <c r="O875" s="34"/>
      <c r="P875" s="34"/>
      <c r="Q875" s="34"/>
      <c r="R875" s="34"/>
      <c r="S875" s="34"/>
      <c r="T875" s="34"/>
      <c r="U875" s="34"/>
      <c r="V875" s="34"/>
    </row>
    <row r="876" spans="1:22">
      <c r="A876" s="35"/>
      <c r="B876" s="3"/>
      <c r="C876" s="35"/>
      <c r="D876" s="34"/>
      <c r="E876" s="34"/>
      <c r="F876" s="35"/>
      <c r="G876" s="35"/>
      <c r="H876" s="3"/>
      <c r="I876" s="35"/>
      <c r="J876" s="35" t="str">
        <f>IF(OR(TRIM(E876)="", TRIM(H876)=""), "", IFERROR(IF(OR(VLOOKUP(E876&amp;"|"&amp;H876&amp;"", DB!$A:$N, 6, FALSE)="", VLOOKUP(E876&amp;"|"&amp;H876&amp;"", DB!$A:$N, 6, FALSE)="-"), "", VLOOKUP(E876&amp;"|"&amp;H876&amp;"", DB!$A:$N, 6, FALSE)), ""))</f>
        <v/>
      </c>
      <c r="K876" s="35"/>
      <c r="L876" s="35"/>
      <c r="M876" s="35"/>
      <c r="N876" s="35" t="str">
        <f t="shared" si="13"/>
        <v/>
      </c>
      <c r="O876" s="34"/>
      <c r="P876" s="34"/>
      <c r="Q876" s="34"/>
      <c r="R876" s="34"/>
      <c r="S876" s="34"/>
      <c r="T876" s="34"/>
      <c r="U876" s="34"/>
      <c r="V876" s="34"/>
    </row>
    <row r="877" spans="1:22">
      <c r="A877" s="35"/>
      <c r="B877" s="3"/>
      <c r="C877" s="35"/>
      <c r="D877" s="34"/>
      <c r="E877" s="34"/>
      <c r="F877" s="35"/>
      <c r="G877" s="35"/>
      <c r="H877" s="3"/>
      <c r="I877" s="35"/>
      <c r="J877" s="35" t="str">
        <f>IF(OR(TRIM(E877)="", TRIM(H877)=""), "", IFERROR(IF(OR(VLOOKUP(E877&amp;"|"&amp;H877&amp;"", DB!$A:$N, 6, FALSE)="", VLOOKUP(E877&amp;"|"&amp;H877&amp;"", DB!$A:$N, 6, FALSE)="-"), "", VLOOKUP(E877&amp;"|"&amp;H877&amp;"", DB!$A:$N, 6, FALSE)), ""))</f>
        <v/>
      </c>
      <c r="K877" s="35"/>
      <c r="L877" s="35"/>
      <c r="M877" s="35"/>
      <c r="N877" s="35" t="str">
        <f t="shared" si="13"/>
        <v/>
      </c>
      <c r="O877" s="34"/>
      <c r="P877" s="34"/>
      <c r="Q877" s="34"/>
      <c r="R877" s="34"/>
      <c r="S877" s="34"/>
      <c r="T877" s="34"/>
      <c r="U877" s="34"/>
      <c r="V877" s="34"/>
    </row>
    <row r="878" spans="1:22">
      <c r="A878" s="35"/>
      <c r="B878" s="3"/>
      <c r="C878" s="35"/>
      <c r="D878" s="34"/>
      <c r="E878" s="34"/>
      <c r="F878" s="35"/>
      <c r="G878" s="35"/>
      <c r="H878" s="3"/>
      <c r="I878" s="35"/>
      <c r="J878" s="35" t="str">
        <f>IF(OR(TRIM(E878)="", TRIM(H878)=""), "", IFERROR(IF(OR(VLOOKUP(E878&amp;"|"&amp;H878&amp;"", DB!$A:$N, 6, FALSE)="", VLOOKUP(E878&amp;"|"&amp;H878&amp;"", DB!$A:$N, 6, FALSE)="-"), "", VLOOKUP(E878&amp;"|"&amp;H878&amp;"", DB!$A:$N, 6, FALSE)), ""))</f>
        <v/>
      </c>
      <c r="K878" s="35"/>
      <c r="L878" s="35"/>
      <c r="M878" s="35"/>
      <c r="N878" s="35" t="str">
        <f t="shared" si="13"/>
        <v/>
      </c>
      <c r="O878" s="34"/>
      <c r="P878" s="34"/>
      <c r="Q878" s="34"/>
      <c r="R878" s="34"/>
      <c r="S878" s="34"/>
      <c r="T878" s="34"/>
      <c r="U878" s="34"/>
      <c r="V878" s="34"/>
    </row>
    <row r="879" spans="1:22">
      <c r="A879" s="35"/>
      <c r="B879" s="3"/>
      <c r="C879" s="35"/>
      <c r="D879" s="34"/>
      <c r="E879" s="34"/>
      <c r="F879" s="35"/>
      <c r="G879" s="35"/>
      <c r="H879" s="3"/>
      <c r="I879" s="35"/>
      <c r="J879" s="35" t="str">
        <f>IF(OR(TRIM(E879)="", TRIM(H879)=""), "", IFERROR(IF(OR(VLOOKUP(E879&amp;"|"&amp;H879&amp;"", DB!$A:$N, 6, FALSE)="", VLOOKUP(E879&amp;"|"&amp;H879&amp;"", DB!$A:$N, 6, FALSE)="-"), "", VLOOKUP(E879&amp;"|"&amp;H879&amp;"", DB!$A:$N, 6, FALSE)), ""))</f>
        <v/>
      </c>
      <c r="K879" s="35"/>
      <c r="L879" s="35"/>
      <c r="M879" s="35"/>
      <c r="N879" s="35" t="str">
        <f t="shared" si="13"/>
        <v/>
      </c>
      <c r="O879" s="34"/>
      <c r="P879" s="34"/>
      <c r="Q879" s="34"/>
      <c r="R879" s="34"/>
      <c r="S879" s="34"/>
      <c r="T879" s="34"/>
      <c r="U879" s="34"/>
      <c r="V879" s="34"/>
    </row>
    <row r="880" spans="1:22">
      <c r="A880" s="35"/>
      <c r="B880" s="3"/>
      <c r="C880" s="35"/>
      <c r="D880" s="34"/>
      <c r="E880" s="34"/>
      <c r="F880" s="35"/>
      <c r="G880" s="35"/>
      <c r="H880" s="3"/>
      <c r="I880" s="35"/>
      <c r="J880" s="35" t="str">
        <f>IF(OR(TRIM(E880)="", TRIM(H880)=""), "", IFERROR(IF(OR(VLOOKUP(E880&amp;"|"&amp;H880&amp;"", DB!$A:$N, 6, FALSE)="", VLOOKUP(E880&amp;"|"&amp;H880&amp;"", DB!$A:$N, 6, FALSE)="-"), "", VLOOKUP(E880&amp;"|"&amp;H880&amp;"", DB!$A:$N, 6, FALSE)), ""))</f>
        <v/>
      </c>
      <c r="K880" s="35"/>
      <c r="L880" s="35"/>
      <c r="M880" s="35"/>
      <c r="N880" s="35" t="str">
        <f t="shared" si="13"/>
        <v/>
      </c>
      <c r="O880" s="34"/>
      <c r="P880" s="34"/>
      <c r="Q880" s="34"/>
      <c r="R880" s="34"/>
      <c r="S880" s="34"/>
      <c r="T880" s="34"/>
      <c r="U880" s="34"/>
      <c r="V880" s="34"/>
    </row>
    <row r="881" spans="1:22">
      <c r="A881" s="35"/>
      <c r="B881" s="3"/>
      <c r="C881" s="35"/>
      <c r="D881" s="34"/>
      <c r="E881" s="34"/>
      <c r="F881" s="35"/>
      <c r="G881" s="35"/>
      <c r="H881" s="3"/>
      <c r="I881" s="35"/>
      <c r="J881" s="35" t="str">
        <f>IF(OR(TRIM(E881)="", TRIM(H881)=""), "", IFERROR(IF(OR(VLOOKUP(E881&amp;"|"&amp;H881&amp;"", DB!$A:$N, 6, FALSE)="", VLOOKUP(E881&amp;"|"&amp;H881&amp;"", DB!$A:$N, 6, FALSE)="-"), "", VLOOKUP(E881&amp;"|"&amp;H881&amp;"", DB!$A:$N, 6, FALSE)), ""))</f>
        <v/>
      </c>
      <c r="K881" s="35"/>
      <c r="L881" s="35"/>
      <c r="M881" s="35"/>
      <c r="N881" s="35" t="str">
        <f t="shared" si="13"/>
        <v/>
      </c>
      <c r="O881" s="34"/>
      <c r="P881" s="34"/>
      <c r="Q881" s="34"/>
      <c r="R881" s="34"/>
      <c r="S881" s="34"/>
      <c r="T881" s="34"/>
      <c r="U881" s="34"/>
      <c r="V881" s="34"/>
    </row>
    <row r="882" spans="1:22">
      <c r="A882" s="35"/>
      <c r="B882" s="3"/>
      <c r="C882" s="35"/>
      <c r="D882" s="34"/>
      <c r="E882" s="34"/>
      <c r="F882" s="35"/>
      <c r="G882" s="35"/>
      <c r="H882" s="3"/>
      <c r="I882" s="35"/>
      <c r="J882" s="35" t="str">
        <f>IF(OR(TRIM(E882)="", TRIM(H882)=""), "", IFERROR(IF(OR(VLOOKUP(E882&amp;"|"&amp;H882&amp;"", DB!$A:$N, 6, FALSE)="", VLOOKUP(E882&amp;"|"&amp;H882&amp;"", DB!$A:$N, 6, FALSE)="-"), "", VLOOKUP(E882&amp;"|"&amp;H882&amp;"", DB!$A:$N, 6, FALSE)), ""))</f>
        <v/>
      </c>
      <c r="K882" s="35"/>
      <c r="L882" s="35"/>
      <c r="M882" s="35"/>
      <c r="N882" s="35" t="str">
        <f t="shared" si="13"/>
        <v/>
      </c>
      <c r="O882" s="34"/>
      <c r="P882" s="34"/>
      <c r="Q882" s="34"/>
      <c r="R882" s="34"/>
      <c r="S882" s="34"/>
      <c r="T882" s="34"/>
      <c r="U882" s="34"/>
      <c r="V882" s="34"/>
    </row>
    <row r="883" spans="1:22">
      <c r="A883" s="35"/>
      <c r="B883" s="3"/>
      <c r="C883" s="35"/>
      <c r="D883" s="34"/>
      <c r="E883" s="34"/>
      <c r="F883" s="35"/>
      <c r="G883" s="35"/>
      <c r="H883" s="3"/>
      <c r="I883" s="35"/>
      <c r="J883" s="35" t="str">
        <f>IF(OR(TRIM(E883)="", TRIM(H883)=""), "", IFERROR(IF(OR(VLOOKUP(E883&amp;"|"&amp;H883&amp;"", DB!$A:$N, 6, FALSE)="", VLOOKUP(E883&amp;"|"&amp;H883&amp;"", DB!$A:$N, 6, FALSE)="-"), "", VLOOKUP(E883&amp;"|"&amp;H883&amp;"", DB!$A:$N, 6, FALSE)), ""))</f>
        <v/>
      </c>
      <c r="K883" s="35"/>
      <c r="L883" s="35"/>
      <c r="M883" s="35"/>
      <c r="N883" s="35" t="str">
        <f t="shared" si="13"/>
        <v/>
      </c>
      <c r="O883" s="34"/>
      <c r="P883" s="34"/>
      <c r="Q883" s="34"/>
      <c r="R883" s="34"/>
      <c r="S883" s="34"/>
      <c r="T883" s="34"/>
      <c r="U883" s="34"/>
      <c r="V883" s="34"/>
    </row>
    <row r="884" spans="1:22">
      <c r="A884" s="35"/>
      <c r="B884" s="3"/>
      <c r="C884" s="35"/>
      <c r="D884" s="34"/>
      <c r="E884" s="34"/>
      <c r="F884" s="35"/>
      <c r="G884" s="35"/>
      <c r="H884" s="3"/>
      <c r="I884" s="35"/>
      <c r="J884" s="35" t="str">
        <f>IF(OR(TRIM(E884)="", TRIM(H884)=""), "", IFERROR(IF(OR(VLOOKUP(E884&amp;"|"&amp;H884&amp;"", DB!$A:$N, 6, FALSE)="", VLOOKUP(E884&amp;"|"&amp;H884&amp;"", DB!$A:$N, 6, FALSE)="-"), "", VLOOKUP(E884&amp;"|"&amp;H884&amp;"", DB!$A:$N, 6, FALSE)), ""))</f>
        <v/>
      </c>
      <c r="K884" s="35"/>
      <c r="L884" s="35"/>
      <c r="M884" s="35"/>
      <c r="N884" s="35" t="str">
        <f t="shared" si="13"/>
        <v/>
      </c>
      <c r="O884" s="34"/>
      <c r="P884" s="34"/>
      <c r="Q884" s="34"/>
      <c r="R884" s="34"/>
      <c r="S884" s="34"/>
      <c r="T884" s="34"/>
      <c r="U884" s="34"/>
      <c r="V884" s="34"/>
    </row>
    <row r="885" spans="1:22">
      <c r="A885" s="35"/>
      <c r="B885" s="3"/>
      <c r="C885" s="35"/>
      <c r="D885" s="34"/>
      <c r="E885" s="34"/>
      <c r="F885" s="35"/>
      <c r="G885" s="35"/>
      <c r="H885" s="3"/>
      <c r="I885" s="35"/>
      <c r="J885" s="35" t="str">
        <f>IF(OR(TRIM(E885)="", TRIM(H885)=""), "", IFERROR(IF(OR(VLOOKUP(E885&amp;"|"&amp;H885&amp;"", DB!$A:$N, 6, FALSE)="", VLOOKUP(E885&amp;"|"&amp;H885&amp;"", DB!$A:$N, 6, FALSE)="-"), "", VLOOKUP(E885&amp;"|"&amp;H885&amp;"", DB!$A:$N, 6, FALSE)), ""))</f>
        <v/>
      </c>
      <c r="K885" s="35"/>
      <c r="L885" s="35"/>
      <c r="M885" s="35"/>
      <c r="N885" s="35" t="str">
        <f t="shared" si="13"/>
        <v/>
      </c>
      <c r="O885" s="34"/>
      <c r="P885" s="34"/>
      <c r="Q885" s="34"/>
      <c r="R885" s="34"/>
      <c r="S885" s="34"/>
      <c r="T885" s="34"/>
      <c r="U885" s="34"/>
      <c r="V885" s="34"/>
    </row>
    <row r="886" spans="1:22">
      <c r="A886" s="35"/>
      <c r="B886" s="3"/>
      <c r="C886" s="35"/>
      <c r="D886" s="34"/>
      <c r="E886" s="34"/>
      <c r="F886" s="35"/>
      <c r="G886" s="35"/>
      <c r="H886" s="3"/>
      <c r="I886" s="35"/>
      <c r="J886" s="35" t="str">
        <f>IF(OR(TRIM(E886)="", TRIM(H886)=""), "", IFERROR(IF(OR(VLOOKUP(E886&amp;"|"&amp;H886&amp;"", DB!$A:$N, 6, FALSE)="", VLOOKUP(E886&amp;"|"&amp;H886&amp;"", DB!$A:$N, 6, FALSE)="-"), "", VLOOKUP(E886&amp;"|"&amp;H886&amp;"", DB!$A:$N, 6, FALSE)), ""))</f>
        <v/>
      </c>
      <c r="K886" s="35"/>
      <c r="L886" s="35"/>
      <c r="M886" s="35"/>
      <c r="N886" s="35" t="str">
        <f t="shared" si="13"/>
        <v/>
      </c>
      <c r="O886" s="34"/>
      <c r="P886" s="34"/>
      <c r="Q886" s="34"/>
      <c r="R886" s="34"/>
      <c r="S886" s="34"/>
      <c r="T886" s="34"/>
      <c r="U886" s="34"/>
      <c r="V886" s="34"/>
    </row>
    <row r="887" spans="1:22">
      <c r="A887" s="35"/>
      <c r="B887" s="3"/>
      <c r="C887" s="35"/>
      <c r="D887" s="34"/>
      <c r="E887" s="34"/>
      <c r="F887" s="35"/>
      <c r="G887" s="35"/>
      <c r="H887" s="3"/>
      <c r="I887" s="35"/>
      <c r="J887" s="35" t="str">
        <f>IF(OR(TRIM(E887)="", TRIM(H887)=""), "", IFERROR(IF(OR(VLOOKUP(E887&amp;"|"&amp;H887&amp;"", DB!$A:$N, 6, FALSE)="", VLOOKUP(E887&amp;"|"&amp;H887&amp;"", DB!$A:$N, 6, FALSE)="-"), "", VLOOKUP(E887&amp;"|"&amp;H887&amp;"", DB!$A:$N, 6, FALSE)), ""))</f>
        <v/>
      </c>
      <c r="K887" s="35"/>
      <c r="L887" s="35"/>
      <c r="M887" s="35"/>
      <c r="N887" s="35" t="str">
        <f t="shared" si="13"/>
        <v/>
      </c>
      <c r="O887" s="34"/>
      <c r="P887" s="34"/>
      <c r="Q887" s="34"/>
      <c r="R887" s="34"/>
      <c r="S887" s="34"/>
      <c r="T887" s="34"/>
      <c r="U887" s="34"/>
      <c r="V887" s="34"/>
    </row>
    <row r="888" spans="1:22">
      <c r="A888" s="35"/>
      <c r="B888" s="3"/>
      <c r="C888" s="35"/>
      <c r="D888" s="34"/>
      <c r="E888" s="34"/>
      <c r="F888" s="35"/>
      <c r="G888" s="35"/>
      <c r="H888" s="3"/>
      <c r="I888" s="35"/>
      <c r="J888" s="35" t="str">
        <f>IF(OR(TRIM(E888)="", TRIM(H888)=""), "", IFERROR(IF(OR(VLOOKUP(E888&amp;"|"&amp;H888&amp;"", DB!$A:$N, 6, FALSE)="", VLOOKUP(E888&amp;"|"&amp;H888&amp;"", DB!$A:$N, 6, FALSE)="-"), "", VLOOKUP(E888&amp;"|"&amp;H888&amp;"", DB!$A:$N, 6, FALSE)), ""))</f>
        <v/>
      </c>
      <c r="K888" s="35"/>
      <c r="L888" s="35"/>
      <c r="M888" s="35"/>
      <c r="N888" s="35" t="str">
        <f t="shared" si="13"/>
        <v/>
      </c>
      <c r="O888" s="34"/>
      <c r="P888" s="34"/>
      <c r="Q888" s="34"/>
      <c r="R888" s="34"/>
      <c r="S888" s="34"/>
      <c r="T888" s="34"/>
      <c r="U888" s="34"/>
      <c r="V888" s="34"/>
    </row>
    <row r="889" spans="1:22">
      <c r="A889" s="35"/>
      <c r="B889" s="3"/>
      <c r="C889" s="35"/>
      <c r="D889" s="34"/>
      <c r="E889" s="34"/>
      <c r="F889" s="35"/>
      <c r="G889" s="35"/>
      <c r="H889" s="3"/>
      <c r="I889" s="35"/>
      <c r="J889" s="35" t="str">
        <f>IF(OR(TRIM(E889)="", TRIM(H889)=""), "", IFERROR(IF(OR(VLOOKUP(E889&amp;"|"&amp;H889&amp;"", DB!$A:$N, 6, FALSE)="", VLOOKUP(E889&amp;"|"&amp;H889&amp;"", DB!$A:$N, 6, FALSE)="-"), "", VLOOKUP(E889&amp;"|"&amp;H889&amp;"", DB!$A:$N, 6, FALSE)), ""))</f>
        <v/>
      </c>
      <c r="K889" s="35"/>
      <c r="L889" s="35"/>
      <c r="M889" s="35"/>
      <c r="N889" s="35" t="str">
        <f t="shared" si="13"/>
        <v/>
      </c>
      <c r="O889" s="34"/>
      <c r="P889" s="34"/>
      <c r="Q889" s="34"/>
      <c r="R889" s="34"/>
      <c r="S889" s="34"/>
      <c r="T889" s="34"/>
      <c r="U889" s="34"/>
      <c r="V889" s="34"/>
    </row>
    <row r="890" spans="1:22">
      <c r="A890" s="35"/>
      <c r="B890" s="3"/>
      <c r="C890" s="35"/>
      <c r="D890" s="34"/>
      <c r="E890" s="34"/>
      <c r="F890" s="35"/>
      <c r="G890" s="35"/>
      <c r="H890" s="3"/>
      <c r="I890" s="35"/>
      <c r="J890" s="35" t="str">
        <f>IF(OR(TRIM(E890)="", TRIM(H890)=""), "", IFERROR(IF(OR(VLOOKUP(E890&amp;"|"&amp;H890&amp;"", DB!$A:$N, 6, FALSE)="", VLOOKUP(E890&amp;"|"&amp;H890&amp;"", DB!$A:$N, 6, FALSE)="-"), "", VLOOKUP(E890&amp;"|"&amp;H890&amp;"", DB!$A:$N, 6, FALSE)), ""))</f>
        <v/>
      </c>
      <c r="K890" s="35"/>
      <c r="L890" s="35"/>
      <c r="M890" s="35"/>
      <c r="N890" s="35" t="str">
        <f t="shared" si="13"/>
        <v/>
      </c>
      <c r="O890" s="34"/>
      <c r="P890" s="34"/>
      <c r="Q890" s="34"/>
      <c r="R890" s="34"/>
      <c r="S890" s="34"/>
      <c r="T890" s="34"/>
      <c r="U890" s="34"/>
      <c r="V890" s="34"/>
    </row>
    <row r="891" spans="1:22">
      <c r="A891" s="35"/>
      <c r="B891" s="3"/>
      <c r="C891" s="35"/>
      <c r="D891" s="34"/>
      <c r="E891" s="34"/>
      <c r="F891" s="35"/>
      <c r="G891" s="35"/>
      <c r="H891" s="3"/>
      <c r="I891" s="35"/>
      <c r="J891" s="35" t="str">
        <f>IF(OR(TRIM(E891)="", TRIM(H891)=""), "", IFERROR(IF(OR(VLOOKUP(E891&amp;"|"&amp;H891&amp;"", DB!$A:$N, 6, FALSE)="", VLOOKUP(E891&amp;"|"&amp;H891&amp;"", DB!$A:$N, 6, FALSE)="-"), "", VLOOKUP(E891&amp;"|"&amp;H891&amp;"", DB!$A:$N, 6, FALSE)), ""))</f>
        <v/>
      </c>
      <c r="K891" s="35"/>
      <c r="L891" s="35"/>
      <c r="M891" s="35"/>
      <c r="N891" s="35" t="str">
        <f t="shared" si="13"/>
        <v/>
      </c>
      <c r="O891" s="34"/>
      <c r="P891" s="34"/>
      <c r="Q891" s="34"/>
      <c r="R891" s="34"/>
      <c r="S891" s="34"/>
      <c r="T891" s="34"/>
      <c r="U891" s="34"/>
      <c r="V891" s="34"/>
    </row>
    <row r="892" spans="1:22">
      <c r="A892" s="35"/>
      <c r="B892" s="3"/>
      <c r="C892" s="35"/>
      <c r="D892" s="34"/>
      <c r="E892" s="34"/>
      <c r="F892" s="35"/>
      <c r="G892" s="35"/>
      <c r="H892" s="3"/>
      <c r="I892" s="35"/>
      <c r="J892" s="35" t="str">
        <f>IF(OR(TRIM(E892)="", TRIM(H892)=""), "", IFERROR(IF(OR(VLOOKUP(E892&amp;"|"&amp;H892&amp;"", DB!$A:$N, 6, FALSE)="", VLOOKUP(E892&amp;"|"&amp;H892&amp;"", DB!$A:$N, 6, FALSE)="-"), "", VLOOKUP(E892&amp;"|"&amp;H892&amp;"", DB!$A:$N, 6, FALSE)), ""))</f>
        <v/>
      </c>
      <c r="K892" s="35"/>
      <c r="L892" s="35"/>
      <c r="M892" s="35"/>
      <c r="N892" s="35" t="str">
        <f t="shared" si="13"/>
        <v/>
      </c>
      <c r="O892" s="34"/>
      <c r="P892" s="34"/>
      <c r="Q892" s="34"/>
      <c r="R892" s="34"/>
      <c r="S892" s="34"/>
      <c r="T892" s="34"/>
      <c r="U892" s="34"/>
      <c r="V892" s="34"/>
    </row>
    <row r="893" spans="1:22">
      <c r="A893" s="35"/>
      <c r="B893" s="3"/>
      <c r="C893" s="35"/>
      <c r="D893" s="34"/>
      <c r="E893" s="34"/>
      <c r="F893" s="35"/>
      <c r="G893" s="35"/>
      <c r="H893" s="3"/>
      <c r="I893" s="35"/>
      <c r="J893" s="35" t="str">
        <f>IF(OR(TRIM(E893)="", TRIM(H893)=""), "", IFERROR(IF(OR(VLOOKUP(E893&amp;"|"&amp;H893&amp;"", DB!$A:$N, 6, FALSE)="", VLOOKUP(E893&amp;"|"&amp;H893&amp;"", DB!$A:$N, 6, FALSE)="-"), "", VLOOKUP(E893&amp;"|"&amp;H893&amp;"", DB!$A:$N, 6, FALSE)), ""))</f>
        <v/>
      </c>
      <c r="K893" s="35"/>
      <c r="L893" s="35"/>
      <c r="M893" s="35"/>
      <c r="N893" s="35" t="str">
        <f t="shared" si="13"/>
        <v/>
      </c>
      <c r="O893" s="34"/>
      <c r="P893" s="34"/>
      <c r="Q893" s="34"/>
      <c r="R893" s="34"/>
      <c r="S893" s="34"/>
      <c r="T893" s="34"/>
      <c r="U893" s="34"/>
      <c r="V893" s="34"/>
    </row>
    <row r="894" spans="1:22">
      <c r="A894" s="35"/>
      <c r="B894" s="3"/>
      <c r="C894" s="35"/>
      <c r="D894" s="34"/>
      <c r="E894" s="34"/>
      <c r="F894" s="35"/>
      <c r="G894" s="35"/>
      <c r="H894" s="3"/>
      <c r="I894" s="35"/>
      <c r="J894" s="35" t="str">
        <f>IF(OR(TRIM(E894)="", TRIM(H894)=""), "", IFERROR(IF(OR(VLOOKUP(E894&amp;"|"&amp;H894&amp;"", DB!$A:$N, 6, FALSE)="", VLOOKUP(E894&amp;"|"&amp;H894&amp;"", DB!$A:$N, 6, FALSE)="-"), "", VLOOKUP(E894&amp;"|"&amp;H894&amp;"", DB!$A:$N, 6, FALSE)), ""))</f>
        <v/>
      </c>
      <c r="K894" s="35"/>
      <c r="L894" s="35"/>
      <c r="M894" s="35"/>
      <c r="N894" s="35" t="str">
        <f t="shared" si="13"/>
        <v/>
      </c>
      <c r="O894" s="34"/>
      <c r="P894" s="34"/>
      <c r="Q894" s="34"/>
      <c r="R894" s="34"/>
      <c r="S894" s="34"/>
      <c r="T894" s="34"/>
      <c r="U894" s="34"/>
      <c r="V894" s="34"/>
    </row>
    <row r="895" spans="1:22">
      <c r="A895" s="35"/>
      <c r="B895" s="3"/>
      <c r="C895" s="35"/>
      <c r="D895" s="34"/>
      <c r="E895" s="34"/>
      <c r="F895" s="35"/>
      <c r="G895" s="35"/>
      <c r="H895" s="3"/>
      <c r="I895" s="35"/>
      <c r="J895" s="35" t="str">
        <f>IF(OR(TRIM(E895)="", TRIM(H895)=""), "", IFERROR(IF(OR(VLOOKUP(E895&amp;"|"&amp;H895&amp;"", DB!$A:$N, 6, FALSE)="", VLOOKUP(E895&amp;"|"&amp;H895&amp;"", DB!$A:$N, 6, FALSE)="-"), "", VLOOKUP(E895&amp;"|"&amp;H895&amp;"", DB!$A:$N, 6, FALSE)), ""))</f>
        <v/>
      </c>
      <c r="K895" s="35"/>
      <c r="L895" s="35"/>
      <c r="M895" s="35"/>
      <c r="N895" s="35" t="str">
        <f t="shared" si="13"/>
        <v/>
      </c>
      <c r="O895" s="34"/>
      <c r="P895" s="34"/>
      <c r="Q895" s="34"/>
      <c r="R895" s="34"/>
      <c r="S895" s="34"/>
      <c r="T895" s="34"/>
      <c r="U895" s="34"/>
      <c r="V895" s="34"/>
    </row>
    <row r="896" spans="1:22">
      <c r="A896" s="35"/>
      <c r="B896" s="3"/>
      <c r="C896" s="35"/>
      <c r="D896" s="34"/>
      <c r="E896" s="34"/>
      <c r="F896" s="35"/>
      <c r="G896" s="35"/>
      <c r="H896" s="3"/>
      <c r="I896" s="35"/>
      <c r="J896" s="35" t="str">
        <f>IF(OR(TRIM(E896)="", TRIM(H896)=""), "", IFERROR(IF(OR(VLOOKUP(E896&amp;"|"&amp;H896&amp;"", DB!$A:$N, 6, FALSE)="", VLOOKUP(E896&amp;"|"&amp;H896&amp;"", DB!$A:$N, 6, FALSE)="-"), "", VLOOKUP(E896&amp;"|"&amp;H896&amp;"", DB!$A:$N, 6, FALSE)), ""))</f>
        <v/>
      </c>
      <c r="K896" s="35"/>
      <c r="L896" s="35"/>
      <c r="M896" s="35"/>
      <c r="N896" s="35" t="str">
        <f t="shared" si="13"/>
        <v/>
      </c>
      <c r="O896" s="34"/>
      <c r="P896" s="34"/>
      <c r="Q896" s="34"/>
      <c r="R896" s="34"/>
      <c r="S896" s="34"/>
      <c r="T896" s="34"/>
      <c r="U896" s="34"/>
      <c r="V896" s="34"/>
    </row>
    <row r="897" spans="1:22">
      <c r="A897" s="35"/>
      <c r="B897" s="3"/>
      <c r="C897" s="35"/>
      <c r="D897" s="34"/>
      <c r="E897" s="34"/>
      <c r="F897" s="35"/>
      <c r="G897" s="35"/>
      <c r="H897" s="3"/>
      <c r="I897" s="35"/>
      <c r="J897" s="35" t="str">
        <f>IF(OR(TRIM(E897)="", TRIM(H897)=""), "", IFERROR(IF(OR(VLOOKUP(E897&amp;"|"&amp;H897&amp;"", DB!$A:$N, 6, FALSE)="", VLOOKUP(E897&amp;"|"&amp;H897&amp;"", DB!$A:$N, 6, FALSE)="-"), "", VLOOKUP(E897&amp;"|"&amp;H897&amp;"", DB!$A:$N, 6, FALSE)), ""))</f>
        <v/>
      </c>
      <c r="K897" s="35"/>
      <c r="L897" s="35"/>
      <c r="M897" s="35"/>
      <c r="N897" s="35" t="str">
        <f t="shared" si="13"/>
        <v/>
      </c>
      <c r="O897" s="34"/>
      <c r="P897" s="34"/>
      <c r="Q897" s="34"/>
      <c r="R897" s="34"/>
      <c r="S897" s="34"/>
      <c r="T897" s="34"/>
      <c r="U897" s="34"/>
      <c r="V897" s="34"/>
    </row>
    <row r="898" spans="1:22">
      <c r="A898" s="35"/>
      <c r="B898" s="3"/>
      <c r="C898" s="35"/>
      <c r="D898" s="34"/>
      <c r="E898" s="34"/>
      <c r="F898" s="35"/>
      <c r="G898" s="35"/>
      <c r="H898" s="3"/>
      <c r="I898" s="35"/>
      <c r="J898" s="35" t="str">
        <f>IF(OR(TRIM(E898)="", TRIM(H898)=""), "", IFERROR(IF(OR(VLOOKUP(E898&amp;"|"&amp;H898&amp;"", DB!$A:$N, 6, FALSE)="", VLOOKUP(E898&amp;"|"&amp;H898&amp;"", DB!$A:$N, 6, FALSE)="-"), "", VLOOKUP(E898&amp;"|"&amp;H898&amp;"", DB!$A:$N, 6, FALSE)), ""))</f>
        <v/>
      </c>
      <c r="K898" s="35"/>
      <c r="L898" s="35"/>
      <c r="M898" s="35"/>
      <c r="N898" s="35" t="str">
        <f t="shared" ref="N898:N961" si="14">IF(TRIM(D898)="", "", IF(N(L898)-N(M898)&lt;=0, "X", N(L898)-N(M898)))</f>
        <v/>
      </c>
      <c r="O898" s="34"/>
      <c r="P898" s="34"/>
      <c r="Q898" s="34"/>
      <c r="R898" s="34"/>
      <c r="S898" s="34"/>
      <c r="T898" s="34"/>
      <c r="U898" s="34"/>
      <c r="V898" s="34"/>
    </row>
    <row r="899" spans="1:22">
      <c r="A899" s="35"/>
      <c r="B899" s="3"/>
      <c r="C899" s="35"/>
      <c r="D899" s="34"/>
      <c r="E899" s="34"/>
      <c r="F899" s="35"/>
      <c r="G899" s="35"/>
      <c r="H899" s="3"/>
      <c r="I899" s="35"/>
      <c r="J899" s="35" t="str">
        <f>IF(OR(TRIM(E899)="", TRIM(H899)=""), "", IFERROR(IF(OR(VLOOKUP(E899&amp;"|"&amp;H899&amp;"", DB!$A:$N, 6, FALSE)="", VLOOKUP(E899&amp;"|"&amp;H899&amp;"", DB!$A:$N, 6, FALSE)="-"), "", VLOOKUP(E899&amp;"|"&amp;H899&amp;"", DB!$A:$N, 6, FALSE)), ""))</f>
        <v/>
      </c>
      <c r="K899" s="35"/>
      <c r="L899" s="35"/>
      <c r="M899" s="35"/>
      <c r="N899" s="35" t="str">
        <f t="shared" si="14"/>
        <v/>
      </c>
      <c r="O899" s="34"/>
      <c r="P899" s="34"/>
      <c r="Q899" s="34"/>
      <c r="R899" s="34"/>
      <c r="S899" s="34"/>
      <c r="T899" s="34"/>
      <c r="U899" s="34"/>
      <c r="V899" s="34"/>
    </row>
    <row r="900" spans="1:22">
      <c r="A900" s="35"/>
      <c r="B900" s="3"/>
      <c r="C900" s="35"/>
      <c r="D900" s="34"/>
      <c r="E900" s="34"/>
      <c r="F900" s="35"/>
      <c r="G900" s="35"/>
      <c r="H900" s="3"/>
      <c r="I900" s="35"/>
      <c r="J900" s="35" t="str">
        <f>IF(OR(TRIM(E900)="", TRIM(H900)=""), "", IFERROR(IF(OR(VLOOKUP(E900&amp;"|"&amp;H900&amp;"", DB!$A:$N, 6, FALSE)="", VLOOKUP(E900&amp;"|"&amp;H900&amp;"", DB!$A:$N, 6, FALSE)="-"), "", VLOOKUP(E900&amp;"|"&amp;H900&amp;"", DB!$A:$N, 6, FALSE)), ""))</f>
        <v/>
      </c>
      <c r="K900" s="35"/>
      <c r="L900" s="35"/>
      <c r="M900" s="35"/>
      <c r="N900" s="35" t="str">
        <f t="shared" si="14"/>
        <v/>
      </c>
      <c r="O900" s="34"/>
      <c r="P900" s="34"/>
      <c r="Q900" s="34"/>
      <c r="R900" s="34"/>
      <c r="S900" s="34"/>
      <c r="T900" s="34"/>
      <c r="U900" s="34"/>
      <c r="V900" s="34"/>
    </row>
    <row r="901" spans="1:22">
      <c r="A901" s="35"/>
      <c r="B901" s="3"/>
      <c r="C901" s="35"/>
      <c r="D901" s="34"/>
      <c r="E901" s="34"/>
      <c r="F901" s="35"/>
      <c r="G901" s="35"/>
      <c r="H901" s="3"/>
      <c r="I901" s="35"/>
      <c r="J901" s="35" t="str">
        <f>IF(OR(TRIM(E901)="", TRIM(H901)=""), "", IFERROR(IF(OR(VLOOKUP(E901&amp;"|"&amp;H901&amp;"", DB!$A:$N, 6, FALSE)="", VLOOKUP(E901&amp;"|"&amp;H901&amp;"", DB!$A:$N, 6, FALSE)="-"), "", VLOOKUP(E901&amp;"|"&amp;H901&amp;"", DB!$A:$N, 6, FALSE)), ""))</f>
        <v/>
      </c>
      <c r="K901" s="35"/>
      <c r="L901" s="35"/>
      <c r="M901" s="35"/>
      <c r="N901" s="35" t="str">
        <f t="shared" si="14"/>
        <v/>
      </c>
      <c r="O901" s="34"/>
      <c r="P901" s="34"/>
      <c r="Q901" s="34"/>
      <c r="R901" s="34"/>
      <c r="S901" s="34"/>
      <c r="T901" s="34"/>
      <c r="U901" s="34"/>
      <c r="V901" s="34"/>
    </row>
    <row r="902" spans="1:22">
      <c r="A902" s="35"/>
      <c r="B902" s="3"/>
      <c r="C902" s="35"/>
      <c r="D902" s="34"/>
      <c r="E902" s="34"/>
      <c r="F902" s="35"/>
      <c r="G902" s="35"/>
      <c r="H902" s="3"/>
      <c r="I902" s="35"/>
      <c r="J902" s="35" t="str">
        <f>IF(OR(TRIM(E902)="", TRIM(H902)=""), "", IFERROR(IF(OR(VLOOKUP(E902&amp;"|"&amp;H902&amp;"", DB!$A:$N, 6, FALSE)="", VLOOKUP(E902&amp;"|"&amp;H902&amp;"", DB!$A:$N, 6, FALSE)="-"), "", VLOOKUP(E902&amp;"|"&amp;H902&amp;"", DB!$A:$N, 6, FALSE)), ""))</f>
        <v/>
      </c>
      <c r="K902" s="35"/>
      <c r="L902" s="35"/>
      <c r="M902" s="35"/>
      <c r="N902" s="35" t="str">
        <f t="shared" si="14"/>
        <v/>
      </c>
      <c r="O902" s="34"/>
      <c r="P902" s="34"/>
      <c r="Q902" s="34"/>
      <c r="R902" s="34"/>
      <c r="S902" s="34"/>
      <c r="T902" s="34"/>
      <c r="U902" s="34"/>
      <c r="V902" s="34"/>
    </row>
    <row r="903" spans="1:22">
      <c r="A903" s="35"/>
      <c r="B903" s="3"/>
      <c r="C903" s="35"/>
      <c r="D903" s="34"/>
      <c r="E903" s="34"/>
      <c r="F903" s="35"/>
      <c r="G903" s="35"/>
      <c r="H903" s="3"/>
      <c r="I903" s="35"/>
      <c r="J903" s="35" t="str">
        <f>IF(OR(TRIM(E903)="", TRIM(H903)=""), "", IFERROR(IF(OR(VLOOKUP(E903&amp;"|"&amp;H903&amp;"", DB!$A:$N, 6, FALSE)="", VLOOKUP(E903&amp;"|"&amp;H903&amp;"", DB!$A:$N, 6, FALSE)="-"), "", VLOOKUP(E903&amp;"|"&amp;H903&amp;"", DB!$A:$N, 6, FALSE)), ""))</f>
        <v/>
      </c>
      <c r="K903" s="35"/>
      <c r="L903" s="35"/>
      <c r="M903" s="35"/>
      <c r="N903" s="35" t="str">
        <f t="shared" si="14"/>
        <v/>
      </c>
      <c r="O903" s="34"/>
      <c r="P903" s="34"/>
      <c r="Q903" s="34"/>
      <c r="R903" s="34"/>
      <c r="S903" s="34"/>
      <c r="T903" s="34"/>
      <c r="U903" s="34"/>
      <c r="V903" s="34"/>
    </row>
    <row r="904" spans="1:22">
      <c r="A904" s="35"/>
      <c r="B904" s="3"/>
      <c r="C904" s="35"/>
      <c r="D904" s="34"/>
      <c r="E904" s="34"/>
      <c r="F904" s="35"/>
      <c r="G904" s="35"/>
      <c r="H904" s="3"/>
      <c r="I904" s="35"/>
      <c r="J904" s="35" t="str">
        <f>IF(OR(TRIM(E904)="", TRIM(H904)=""), "", IFERROR(IF(OR(VLOOKUP(E904&amp;"|"&amp;H904&amp;"", DB!$A:$N, 6, FALSE)="", VLOOKUP(E904&amp;"|"&amp;H904&amp;"", DB!$A:$N, 6, FALSE)="-"), "", VLOOKUP(E904&amp;"|"&amp;H904&amp;"", DB!$A:$N, 6, FALSE)), ""))</f>
        <v/>
      </c>
      <c r="K904" s="35"/>
      <c r="L904" s="35"/>
      <c r="M904" s="35"/>
      <c r="N904" s="35" t="str">
        <f t="shared" si="14"/>
        <v/>
      </c>
      <c r="O904" s="34"/>
      <c r="P904" s="34"/>
      <c r="Q904" s="34"/>
      <c r="R904" s="34"/>
      <c r="S904" s="34"/>
      <c r="T904" s="34"/>
      <c r="U904" s="34"/>
      <c r="V904" s="34"/>
    </row>
    <row r="905" spans="1:22">
      <c r="A905" s="35"/>
      <c r="B905" s="3"/>
      <c r="C905" s="35"/>
      <c r="D905" s="34"/>
      <c r="E905" s="34"/>
      <c r="F905" s="35"/>
      <c r="G905" s="35"/>
      <c r="H905" s="3"/>
      <c r="I905" s="35"/>
      <c r="J905" s="35" t="str">
        <f>IF(OR(TRIM(E905)="", TRIM(H905)=""), "", IFERROR(IF(OR(VLOOKUP(E905&amp;"|"&amp;H905&amp;"", DB!$A:$N, 6, FALSE)="", VLOOKUP(E905&amp;"|"&amp;H905&amp;"", DB!$A:$N, 6, FALSE)="-"), "", VLOOKUP(E905&amp;"|"&amp;H905&amp;"", DB!$A:$N, 6, FALSE)), ""))</f>
        <v/>
      </c>
      <c r="K905" s="35"/>
      <c r="L905" s="35"/>
      <c r="M905" s="35"/>
      <c r="N905" s="35" t="str">
        <f t="shared" si="14"/>
        <v/>
      </c>
      <c r="O905" s="34"/>
      <c r="P905" s="34"/>
      <c r="Q905" s="34"/>
      <c r="R905" s="34"/>
      <c r="S905" s="34"/>
      <c r="T905" s="34"/>
      <c r="U905" s="34"/>
      <c r="V905" s="34"/>
    </row>
    <row r="906" spans="1:22">
      <c r="A906" s="35"/>
      <c r="B906" s="3"/>
      <c r="C906" s="35"/>
      <c r="D906" s="34"/>
      <c r="E906" s="34"/>
      <c r="F906" s="35"/>
      <c r="G906" s="35"/>
      <c r="H906" s="3"/>
      <c r="I906" s="35"/>
      <c r="J906" s="35" t="str">
        <f>IF(OR(TRIM(E906)="", TRIM(H906)=""), "", IFERROR(IF(OR(VLOOKUP(E906&amp;"|"&amp;H906&amp;"", DB!$A:$N, 6, FALSE)="", VLOOKUP(E906&amp;"|"&amp;H906&amp;"", DB!$A:$N, 6, FALSE)="-"), "", VLOOKUP(E906&amp;"|"&amp;H906&amp;"", DB!$A:$N, 6, FALSE)), ""))</f>
        <v/>
      </c>
      <c r="K906" s="35"/>
      <c r="L906" s="35"/>
      <c r="M906" s="35"/>
      <c r="N906" s="35" t="str">
        <f t="shared" si="14"/>
        <v/>
      </c>
      <c r="O906" s="34"/>
      <c r="P906" s="34"/>
      <c r="Q906" s="34"/>
      <c r="R906" s="34"/>
      <c r="S906" s="34"/>
      <c r="T906" s="34"/>
      <c r="U906" s="34"/>
      <c r="V906" s="34"/>
    </row>
    <row r="907" spans="1:22">
      <c r="A907" s="35"/>
      <c r="B907" s="3"/>
      <c r="C907" s="35"/>
      <c r="D907" s="34"/>
      <c r="E907" s="34"/>
      <c r="F907" s="35"/>
      <c r="G907" s="35"/>
      <c r="H907" s="3"/>
      <c r="I907" s="35"/>
      <c r="J907" s="35" t="str">
        <f>IF(OR(TRIM(E907)="", TRIM(H907)=""), "", IFERROR(IF(OR(VLOOKUP(E907&amp;"|"&amp;H907&amp;"", DB!$A:$N, 6, FALSE)="", VLOOKUP(E907&amp;"|"&amp;H907&amp;"", DB!$A:$N, 6, FALSE)="-"), "", VLOOKUP(E907&amp;"|"&amp;H907&amp;"", DB!$A:$N, 6, FALSE)), ""))</f>
        <v/>
      </c>
      <c r="K907" s="35"/>
      <c r="L907" s="35"/>
      <c r="M907" s="35"/>
      <c r="N907" s="35" t="str">
        <f t="shared" si="14"/>
        <v/>
      </c>
      <c r="O907" s="34"/>
      <c r="P907" s="34"/>
      <c r="Q907" s="34"/>
      <c r="R907" s="34"/>
      <c r="S907" s="34"/>
      <c r="T907" s="34"/>
      <c r="U907" s="34"/>
      <c r="V907" s="34"/>
    </row>
    <row r="908" spans="1:22">
      <c r="A908" s="35"/>
      <c r="B908" s="3"/>
      <c r="C908" s="35"/>
      <c r="D908" s="34"/>
      <c r="E908" s="34"/>
      <c r="F908" s="35"/>
      <c r="G908" s="35"/>
      <c r="H908" s="3"/>
      <c r="I908" s="35"/>
      <c r="J908" s="35" t="str">
        <f>IF(OR(TRIM(E908)="", TRIM(H908)=""), "", IFERROR(IF(OR(VLOOKUP(E908&amp;"|"&amp;H908&amp;"", DB!$A:$N, 6, FALSE)="", VLOOKUP(E908&amp;"|"&amp;H908&amp;"", DB!$A:$N, 6, FALSE)="-"), "", VLOOKUP(E908&amp;"|"&amp;H908&amp;"", DB!$A:$N, 6, FALSE)), ""))</f>
        <v/>
      </c>
      <c r="K908" s="35"/>
      <c r="L908" s="35"/>
      <c r="M908" s="35"/>
      <c r="N908" s="35" t="str">
        <f t="shared" si="14"/>
        <v/>
      </c>
      <c r="O908" s="34"/>
      <c r="P908" s="34"/>
      <c r="Q908" s="34"/>
      <c r="R908" s="34"/>
      <c r="S908" s="34"/>
      <c r="T908" s="34"/>
      <c r="U908" s="34"/>
      <c r="V908" s="34"/>
    </row>
    <row r="909" spans="1:22">
      <c r="A909" s="35"/>
      <c r="B909" s="3"/>
      <c r="C909" s="35"/>
      <c r="D909" s="34"/>
      <c r="E909" s="34"/>
      <c r="F909" s="35"/>
      <c r="G909" s="35"/>
      <c r="H909" s="3"/>
      <c r="I909" s="35"/>
      <c r="J909" s="35" t="str">
        <f>IF(OR(TRIM(E909)="", TRIM(H909)=""), "", IFERROR(IF(OR(VLOOKUP(E909&amp;"|"&amp;H909&amp;"", DB!$A:$N, 6, FALSE)="", VLOOKUP(E909&amp;"|"&amp;H909&amp;"", DB!$A:$N, 6, FALSE)="-"), "", VLOOKUP(E909&amp;"|"&amp;H909&amp;"", DB!$A:$N, 6, FALSE)), ""))</f>
        <v/>
      </c>
      <c r="K909" s="35"/>
      <c r="L909" s="35"/>
      <c r="M909" s="35"/>
      <c r="N909" s="35" t="str">
        <f t="shared" si="14"/>
        <v/>
      </c>
      <c r="O909" s="34"/>
      <c r="P909" s="34"/>
      <c r="Q909" s="34"/>
      <c r="R909" s="34"/>
      <c r="S909" s="34"/>
      <c r="T909" s="34"/>
      <c r="U909" s="34"/>
      <c r="V909" s="34"/>
    </row>
    <row r="910" spans="1:22">
      <c r="A910" s="35"/>
      <c r="B910" s="3"/>
      <c r="C910" s="35"/>
      <c r="D910" s="34"/>
      <c r="E910" s="34"/>
      <c r="F910" s="35"/>
      <c r="G910" s="35"/>
      <c r="H910" s="3"/>
      <c r="I910" s="35"/>
      <c r="J910" s="35" t="str">
        <f>IF(OR(TRIM(E910)="", TRIM(H910)=""), "", IFERROR(IF(OR(VLOOKUP(E910&amp;"|"&amp;H910&amp;"", DB!$A:$N, 6, FALSE)="", VLOOKUP(E910&amp;"|"&amp;H910&amp;"", DB!$A:$N, 6, FALSE)="-"), "", VLOOKUP(E910&amp;"|"&amp;H910&amp;"", DB!$A:$N, 6, FALSE)), ""))</f>
        <v/>
      </c>
      <c r="K910" s="35"/>
      <c r="L910" s="35"/>
      <c r="M910" s="35"/>
      <c r="N910" s="35" t="str">
        <f t="shared" si="14"/>
        <v/>
      </c>
      <c r="O910" s="34"/>
      <c r="P910" s="34"/>
      <c r="Q910" s="34"/>
      <c r="R910" s="34"/>
      <c r="S910" s="34"/>
      <c r="T910" s="34"/>
      <c r="U910" s="34"/>
      <c r="V910" s="34"/>
    </row>
    <row r="911" spans="1:22">
      <c r="A911" s="35"/>
      <c r="B911" s="3"/>
      <c r="C911" s="35"/>
      <c r="D911" s="34"/>
      <c r="E911" s="34"/>
      <c r="F911" s="35"/>
      <c r="G911" s="35"/>
      <c r="H911" s="3"/>
      <c r="I911" s="35"/>
      <c r="J911" s="35" t="str">
        <f>IF(OR(TRIM(E911)="", TRIM(H911)=""), "", IFERROR(IF(OR(VLOOKUP(E911&amp;"|"&amp;H911&amp;"", DB!$A:$N, 6, FALSE)="", VLOOKUP(E911&amp;"|"&amp;H911&amp;"", DB!$A:$N, 6, FALSE)="-"), "", VLOOKUP(E911&amp;"|"&amp;H911&amp;"", DB!$A:$N, 6, FALSE)), ""))</f>
        <v/>
      </c>
      <c r="K911" s="35"/>
      <c r="L911" s="35"/>
      <c r="M911" s="35"/>
      <c r="N911" s="35" t="str">
        <f t="shared" si="14"/>
        <v/>
      </c>
      <c r="O911" s="34"/>
      <c r="P911" s="34"/>
      <c r="Q911" s="34"/>
      <c r="R911" s="34"/>
      <c r="S911" s="34"/>
      <c r="T911" s="34"/>
      <c r="U911" s="34"/>
      <c r="V911" s="34"/>
    </row>
    <row r="912" spans="1:22">
      <c r="A912" s="35"/>
      <c r="B912" s="3"/>
      <c r="C912" s="35"/>
      <c r="D912" s="34"/>
      <c r="E912" s="34"/>
      <c r="F912" s="35"/>
      <c r="G912" s="35"/>
      <c r="H912" s="3"/>
      <c r="I912" s="35"/>
      <c r="J912" s="35" t="str">
        <f>IF(OR(TRIM(E912)="", TRIM(H912)=""), "", IFERROR(IF(OR(VLOOKUP(E912&amp;"|"&amp;H912&amp;"", DB!$A:$N, 6, FALSE)="", VLOOKUP(E912&amp;"|"&amp;H912&amp;"", DB!$A:$N, 6, FALSE)="-"), "", VLOOKUP(E912&amp;"|"&amp;H912&amp;"", DB!$A:$N, 6, FALSE)), ""))</f>
        <v/>
      </c>
      <c r="K912" s="35"/>
      <c r="L912" s="35"/>
      <c r="M912" s="35"/>
      <c r="N912" s="35" t="str">
        <f t="shared" si="14"/>
        <v/>
      </c>
      <c r="O912" s="34"/>
      <c r="P912" s="34"/>
      <c r="Q912" s="34"/>
      <c r="R912" s="34"/>
      <c r="S912" s="34"/>
      <c r="T912" s="34"/>
      <c r="U912" s="34"/>
      <c r="V912" s="34"/>
    </row>
    <row r="913" spans="1:22">
      <c r="A913" s="35"/>
      <c r="B913" s="3"/>
      <c r="C913" s="35"/>
      <c r="D913" s="34"/>
      <c r="E913" s="34"/>
      <c r="F913" s="35"/>
      <c r="G913" s="35"/>
      <c r="H913" s="3"/>
      <c r="I913" s="35"/>
      <c r="J913" s="35" t="str">
        <f>IF(OR(TRIM(E913)="", TRIM(H913)=""), "", IFERROR(IF(OR(VLOOKUP(E913&amp;"|"&amp;H913&amp;"", DB!$A:$N, 6, FALSE)="", VLOOKUP(E913&amp;"|"&amp;H913&amp;"", DB!$A:$N, 6, FALSE)="-"), "", VLOOKUP(E913&amp;"|"&amp;H913&amp;"", DB!$A:$N, 6, FALSE)), ""))</f>
        <v/>
      </c>
      <c r="K913" s="35"/>
      <c r="L913" s="35"/>
      <c r="M913" s="35"/>
      <c r="N913" s="35" t="str">
        <f t="shared" si="14"/>
        <v/>
      </c>
      <c r="O913" s="34"/>
      <c r="P913" s="34"/>
      <c r="Q913" s="34"/>
      <c r="R913" s="34"/>
      <c r="S913" s="34"/>
      <c r="T913" s="34"/>
      <c r="U913" s="34"/>
      <c r="V913" s="34"/>
    </row>
    <row r="914" spans="1:22">
      <c r="A914" s="35"/>
      <c r="B914" s="3"/>
      <c r="C914" s="35"/>
      <c r="D914" s="34"/>
      <c r="E914" s="34"/>
      <c r="F914" s="35"/>
      <c r="G914" s="35"/>
      <c r="H914" s="3"/>
      <c r="I914" s="35"/>
      <c r="J914" s="35" t="str">
        <f>IF(OR(TRIM(E914)="", TRIM(H914)=""), "", IFERROR(IF(OR(VLOOKUP(E914&amp;"|"&amp;H914&amp;"", DB!$A:$N, 6, FALSE)="", VLOOKUP(E914&amp;"|"&amp;H914&amp;"", DB!$A:$N, 6, FALSE)="-"), "", VLOOKUP(E914&amp;"|"&amp;H914&amp;"", DB!$A:$N, 6, FALSE)), ""))</f>
        <v/>
      </c>
      <c r="K914" s="35"/>
      <c r="L914" s="35"/>
      <c r="M914" s="35"/>
      <c r="N914" s="35" t="str">
        <f t="shared" si="14"/>
        <v/>
      </c>
      <c r="O914" s="34"/>
      <c r="P914" s="34"/>
      <c r="Q914" s="34"/>
      <c r="R914" s="34"/>
      <c r="S914" s="34"/>
      <c r="T914" s="34"/>
      <c r="U914" s="34"/>
      <c r="V914" s="34"/>
    </row>
    <row r="915" spans="1:22">
      <c r="A915" s="35"/>
      <c r="B915" s="3"/>
      <c r="C915" s="35"/>
      <c r="D915" s="34"/>
      <c r="E915" s="34"/>
      <c r="F915" s="35"/>
      <c r="G915" s="35"/>
      <c r="H915" s="3"/>
      <c r="I915" s="35"/>
      <c r="J915" s="35" t="str">
        <f>IF(OR(TRIM(E915)="", TRIM(H915)=""), "", IFERROR(IF(OR(VLOOKUP(E915&amp;"|"&amp;H915&amp;"", DB!$A:$N, 6, FALSE)="", VLOOKUP(E915&amp;"|"&amp;H915&amp;"", DB!$A:$N, 6, FALSE)="-"), "", VLOOKUP(E915&amp;"|"&amp;H915&amp;"", DB!$A:$N, 6, FALSE)), ""))</f>
        <v/>
      </c>
      <c r="K915" s="35"/>
      <c r="L915" s="35"/>
      <c r="M915" s="35"/>
      <c r="N915" s="35" t="str">
        <f t="shared" si="14"/>
        <v/>
      </c>
      <c r="O915" s="34"/>
      <c r="P915" s="34"/>
      <c r="Q915" s="34"/>
      <c r="R915" s="34"/>
      <c r="S915" s="34"/>
      <c r="T915" s="34"/>
      <c r="U915" s="34"/>
      <c r="V915" s="34"/>
    </row>
    <row r="916" spans="1:22">
      <c r="A916" s="35"/>
      <c r="B916" s="3"/>
      <c r="C916" s="35"/>
      <c r="D916" s="34"/>
      <c r="E916" s="34"/>
      <c r="F916" s="35"/>
      <c r="G916" s="35"/>
      <c r="H916" s="3"/>
      <c r="I916" s="35"/>
      <c r="J916" s="35" t="str">
        <f>IF(OR(TRIM(E916)="", TRIM(H916)=""), "", IFERROR(IF(OR(VLOOKUP(E916&amp;"|"&amp;H916&amp;"", DB!$A:$N, 6, FALSE)="", VLOOKUP(E916&amp;"|"&amp;H916&amp;"", DB!$A:$N, 6, FALSE)="-"), "", VLOOKUP(E916&amp;"|"&amp;H916&amp;"", DB!$A:$N, 6, FALSE)), ""))</f>
        <v/>
      </c>
      <c r="K916" s="35"/>
      <c r="L916" s="35"/>
      <c r="M916" s="35"/>
      <c r="N916" s="35" t="str">
        <f t="shared" si="14"/>
        <v/>
      </c>
      <c r="O916" s="34"/>
      <c r="P916" s="34"/>
      <c r="Q916" s="34"/>
      <c r="R916" s="34"/>
      <c r="S916" s="34"/>
      <c r="T916" s="34"/>
      <c r="U916" s="34"/>
      <c r="V916" s="34"/>
    </row>
    <row r="917" spans="1:22">
      <c r="A917" s="35"/>
      <c r="B917" s="3"/>
      <c r="C917" s="35"/>
      <c r="D917" s="34"/>
      <c r="E917" s="34"/>
      <c r="F917" s="35"/>
      <c r="G917" s="35"/>
      <c r="H917" s="3"/>
      <c r="I917" s="35"/>
      <c r="J917" s="35" t="str">
        <f>IF(OR(TRIM(E917)="", TRIM(H917)=""), "", IFERROR(IF(OR(VLOOKUP(E917&amp;"|"&amp;H917&amp;"", DB!$A:$N, 6, FALSE)="", VLOOKUP(E917&amp;"|"&amp;H917&amp;"", DB!$A:$N, 6, FALSE)="-"), "", VLOOKUP(E917&amp;"|"&amp;H917&amp;"", DB!$A:$N, 6, FALSE)), ""))</f>
        <v/>
      </c>
      <c r="K917" s="35"/>
      <c r="L917" s="35"/>
      <c r="M917" s="35"/>
      <c r="N917" s="35" t="str">
        <f t="shared" si="14"/>
        <v/>
      </c>
      <c r="O917" s="34"/>
      <c r="P917" s="34"/>
      <c r="Q917" s="34"/>
      <c r="R917" s="34"/>
      <c r="S917" s="34"/>
      <c r="T917" s="34"/>
      <c r="U917" s="34"/>
      <c r="V917" s="34"/>
    </row>
    <row r="918" spans="1:22">
      <c r="A918" s="35"/>
      <c r="B918" s="3"/>
      <c r="C918" s="35"/>
      <c r="D918" s="34"/>
      <c r="E918" s="34"/>
      <c r="F918" s="35"/>
      <c r="G918" s="35"/>
      <c r="H918" s="3"/>
      <c r="I918" s="35"/>
      <c r="J918" s="35" t="str">
        <f>IF(OR(TRIM(E918)="", TRIM(H918)=""), "", IFERROR(IF(OR(VLOOKUP(E918&amp;"|"&amp;H918&amp;"", DB!$A:$N, 6, FALSE)="", VLOOKUP(E918&amp;"|"&amp;H918&amp;"", DB!$A:$N, 6, FALSE)="-"), "", VLOOKUP(E918&amp;"|"&amp;H918&amp;"", DB!$A:$N, 6, FALSE)), ""))</f>
        <v/>
      </c>
      <c r="K918" s="35"/>
      <c r="L918" s="35"/>
      <c r="M918" s="35"/>
      <c r="N918" s="35" t="str">
        <f t="shared" si="14"/>
        <v/>
      </c>
      <c r="O918" s="34"/>
      <c r="P918" s="34"/>
      <c r="Q918" s="34"/>
      <c r="R918" s="34"/>
      <c r="S918" s="34"/>
      <c r="T918" s="34"/>
      <c r="U918" s="34"/>
      <c r="V918" s="34"/>
    </row>
    <row r="919" spans="1:22">
      <c r="A919" s="35"/>
      <c r="B919" s="3"/>
      <c r="C919" s="35"/>
      <c r="D919" s="34"/>
      <c r="E919" s="34"/>
      <c r="F919" s="35"/>
      <c r="G919" s="35"/>
      <c r="H919" s="3"/>
      <c r="I919" s="35"/>
      <c r="J919" s="35" t="str">
        <f>IF(OR(TRIM(E919)="", TRIM(H919)=""), "", IFERROR(IF(OR(VLOOKUP(E919&amp;"|"&amp;H919&amp;"", DB!$A:$N, 6, FALSE)="", VLOOKUP(E919&amp;"|"&amp;H919&amp;"", DB!$A:$N, 6, FALSE)="-"), "", VLOOKUP(E919&amp;"|"&amp;H919&amp;"", DB!$A:$N, 6, FALSE)), ""))</f>
        <v/>
      </c>
      <c r="K919" s="35"/>
      <c r="L919" s="35"/>
      <c r="M919" s="35"/>
      <c r="N919" s="35" t="str">
        <f t="shared" si="14"/>
        <v/>
      </c>
      <c r="O919" s="34"/>
      <c r="P919" s="34"/>
      <c r="Q919" s="34"/>
      <c r="R919" s="34"/>
      <c r="S919" s="34"/>
      <c r="T919" s="34"/>
      <c r="U919" s="34"/>
      <c r="V919" s="34"/>
    </row>
    <row r="920" spans="1:22">
      <c r="A920" s="35"/>
      <c r="B920" s="3"/>
      <c r="C920" s="35"/>
      <c r="D920" s="34"/>
      <c r="E920" s="34"/>
      <c r="F920" s="35"/>
      <c r="G920" s="35"/>
      <c r="H920" s="3"/>
      <c r="I920" s="35"/>
      <c r="J920" s="35" t="str">
        <f>IF(OR(TRIM(E920)="", TRIM(H920)=""), "", IFERROR(IF(OR(VLOOKUP(E920&amp;"|"&amp;H920&amp;"", DB!$A:$N, 6, FALSE)="", VLOOKUP(E920&amp;"|"&amp;H920&amp;"", DB!$A:$N, 6, FALSE)="-"), "", VLOOKUP(E920&amp;"|"&amp;H920&amp;"", DB!$A:$N, 6, FALSE)), ""))</f>
        <v/>
      </c>
      <c r="K920" s="35"/>
      <c r="L920" s="35"/>
      <c r="M920" s="35"/>
      <c r="N920" s="35" t="str">
        <f t="shared" si="14"/>
        <v/>
      </c>
      <c r="O920" s="34"/>
      <c r="P920" s="34"/>
      <c r="Q920" s="34"/>
      <c r="R920" s="34"/>
      <c r="S920" s="34"/>
      <c r="T920" s="34"/>
      <c r="U920" s="34"/>
      <c r="V920" s="34"/>
    </row>
    <row r="921" spans="1:22">
      <c r="A921" s="35"/>
      <c r="B921" s="3"/>
      <c r="C921" s="35"/>
      <c r="D921" s="34"/>
      <c r="E921" s="34"/>
      <c r="F921" s="35"/>
      <c r="G921" s="35"/>
      <c r="H921" s="3"/>
      <c r="I921" s="35"/>
      <c r="J921" s="35" t="str">
        <f>IF(OR(TRIM(E921)="", TRIM(H921)=""), "", IFERROR(IF(OR(VLOOKUP(E921&amp;"|"&amp;H921&amp;"", DB!$A:$N, 6, FALSE)="", VLOOKUP(E921&amp;"|"&amp;H921&amp;"", DB!$A:$N, 6, FALSE)="-"), "", VLOOKUP(E921&amp;"|"&amp;H921&amp;"", DB!$A:$N, 6, FALSE)), ""))</f>
        <v/>
      </c>
      <c r="K921" s="35"/>
      <c r="L921" s="35"/>
      <c r="M921" s="35"/>
      <c r="N921" s="35" t="str">
        <f t="shared" si="14"/>
        <v/>
      </c>
      <c r="O921" s="34"/>
      <c r="P921" s="34"/>
      <c r="Q921" s="34"/>
      <c r="R921" s="34"/>
      <c r="S921" s="34"/>
      <c r="T921" s="34"/>
      <c r="U921" s="34"/>
      <c r="V921" s="34"/>
    </row>
    <row r="922" spans="1:22">
      <c r="A922" s="35"/>
      <c r="B922" s="3"/>
      <c r="C922" s="35"/>
      <c r="D922" s="34"/>
      <c r="E922" s="34"/>
      <c r="F922" s="35"/>
      <c r="G922" s="35"/>
      <c r="H922" s="3"/>
      <c r="I922" s="35"/>
      <c r="J922" s="35" t="str">
        <f>IF(OR(TRIM(E922)="", TRIM(H922)=""), "", IFERROR(IF(OR(VLOOKUP(E922&amp;"|"&amp;H922&amp;"", DB!$A:$N, 6, FALSE)="", VLOOKUP(E922&amp;"|"&amp;H922&amp;"", DB!$A:$N, 6, FALSE)="-"), "", VLOOKUP(E922&amp;"|"&amp;H922&amp;"", DB!$A:$N, 6, FALSE)), ""))</f>
        <v/>
      </c>
      <c r="K922" s="35"/>
      <c r="L922" s="35"/>
      <c r="M922" s="35"/>
      <c r="N922" s="35" t="str">
        <f t="shared" si="14"/>
        <v/>
      </c>
      <c r="O922" s="34"/>
      <c r="P922" s="34"/>
      <c r="Q922" s="34"/>
      <c r="R922" s="34"/>
      <c r="S922" s="34"/>
      <c r="T922" s="34"/>
      <c r="U922" s="34"/>
      <c r="V922" s="34"/>
    </row>
    <row r="923" spans="1:22">
      <c r="A923" s="35"/>
      <c r="B923" s="3"/>
      <c r="C923" s="35"/>
      <c r="D923" s="34"/>
      <c r="E923" s="34"/>
      <c r="F923" s="35"/>
      <c r="G923" s="35"/>
      <c r="H923" s="3"/>
      <c r="I923" s="35"/>
      <c r="J923" s="35" t="str">
        <f>IF(OR(TRIM(E923)="", TRIM(H923)=""), "", IFERROR(IF(OR(VLOOKUP(E923&amp;"|"&amp;H923&amp;"", DB!$A:$N, 6, FALSE)="", VLOOKUP(E923&amp;"|"&amp;H923&amp;"", DB!$A:$N, 6, FALSE)="-"), "", VLOOKUP(E923&amp;"|"&amp;H923&amp;"", DB!$A:$N, 6, FALSE)), ""))</f>
        <v/>
      </c>
      <c r="K923" s="35"/>
      <c r="L923" s="35"/>
      <c r="M923" s="35"/>
      <c r="N923" s="35" t="str">
        <f t="shared" si="14"/>
        <v/>
      </c>
      <c r="O923" s="34"/>
      <c r="P923" s="34"/>
      <c r="Q923" s="34"/>
      <c r="R923" s="34"/>
      <c r="S923" s="34"/>
      <c r="T923" s="34"/>
      <c r="U923" s="34"/>
      <c r="V923" s="34"/>
    </row>
    <row r="924" spans="1:22">
      <c r="A924" s="35"/>
      <c r="B924" s="3"/>
      <c r="C924" s="35"/>
      <c r="D924" s="34"/>
      <c r="E924" s="34"/>
      <c r="F924" s="35"/>
      <c r="G924" s="35"/>
      <c r="H924" s="3"/>
      <c r="I924" s="35"/>
      <c r="J924" s="35" t="str">
        <f>IF(OR(TRIM(E924)="", TRIM(H924)=""), "", IFERROR(IF(OR(VLOOKUP(E924&amp;"|"&amp;H924&amp;"", DB!$A:$N, 6, FALSE)="", VLOOKUP(E924&amp;"|"&amp;H924&amp;"", DB!$A:$N, 6, FALSE)="-"), "", VLOOKUP(E924&amp;"|"&amp;H924&amp;"", DB!$A:$N, 6, FALSE)), ""))</f>
        <v/>
      </c>
      <c r="K924" s="35"/>
      <c r="L924" s="35"/>
      <c r="M924" s="35"/>
      <c r="N924" s="35" t="str">
        <f t="shared" si="14"/>
        <v/>
      </c>
      <c r="O924" s="34"/>
      <c r="P924" s="34"/>
      <c r="Q924" s="34"/>
      <c r="R924" s="34"/>
      <c r="S924" s="34"/>
      <c r="T924" s="34"/>
      <c r="U924" s="34"/>
      <c r="V924" s="34"/>
    </row>
    <row r="925" spans="1:22">
      <c r="A925" s="35"/>
      <c r="B925" s="3"/>
      <c r="C925" s="35"/>
      <c r="D925" s="34"/>
      <c r="E925" s="34"/>
      <c r="F925" s="35"/>
      <c r="G925" s="35"/>
      <c r="H925" s="3"/>
      <c r="I925" s="35"/>
      <c r="J925" s="35" t="str">
        <f>IF(OR(TRIM(E925)="", TRIM(H925)=""), "", IFERROR(IF(OR(VLOOKUP(E925&amp;"|"&amp;H925&amp;"", DB!$A:$N, 6, FALSE)="", VLOOKUP(E925&amp;"|"&amp;H925&amp;"", DB!$A:$N, 6, FALSE)="-"), "", VLOOKUP(E925&amp;"|"&amp;H925&amp;"", DB!$A:$N, 6, FALSE)), ""))</f>
        <v/>
      </c>
      <c r="K925" s="35"/>
      <c r="L925" s="35"/>
      <c r="M925" s="35"/>
      <c r="N925" s="35" t="str">
        <f t="shared" si="14"/>
        <v/>
      </c>
      <c r="O925" s="34"/>
      <c r="P925" s="34"/>
      <c r="Q925" s="34"/>
      <c r="R925" s="34"/>
      <c r="S925" s="34"/>
      <c r="T925" s="34"/>
      <c r="U925" s="34"/>
      <c r="V925" s="34"/>
    </row>
    <row r="926" spans="1:22">
      <c r="A926" s="35"/>
      <c r="B926" s="3"/>
      <c r="C926" s="35"/>
      <c r="D926" s="34"/>
      <c r="E926" s="34"/>
      <c r="F926" s="35"/>
      <c r="G926" s="35"/>
      <c r="H926" s="3"/>
      <c r="I926" s="35"/>
      <c r="J926" s="35" t="str">
        <f>IF(OR(TRIM(E926)="", TRIM(H926)=""), "", IFERROR(IF(OR(VLOOKUP(E926&amp;"|"&amp;H926&amp;"", DB!$A:$N, 6, FALSE)="", VLOOKUP(E926&amp;"|"&amp;H926&amp;"", DB!$A:$N, 6, FALSE)="-"), "", VLOOKUP(E926&amp;"|"&amp;H926&amp;"", DB!$A:$N, 6, FALSE)), ""))</f>
        <v/>
      </c>
      <c r="K926" s="35"/>
      <c r="L926" s="35"/>
      <c r="M926" s="35"/>
      <c r="N926" s="35" t="str">
        <f t="shared" si="14"/>
        <v/>
      </c>
      <c r="O926" s="34"/>
      <c r="P926" s="34"/>
      <c r="Q926" s="34"/>
      <c r="R926" s="34"/>
      <c r="S926" s="34"/>
      <c r="T926" s="34"/>
      <c r="U926" s="34"/>
      <c r="V926" s="34"/>
    </row>
    <row r="927" spans="1:22">
      <c r="A927" s="35"/>
      <c r="B927" s="3"/>
      <c r="C927" s="35"/>
      <c r="D927" s="34"/>
      <c r="E927" s="34"/>
      <c r="F927" s="35"/>
      <c r="G927" s="35"/>
      <c r="H927" s="3"/>
      <c r="I927" s="35"/>
      <c r="J927" s="35" t="str">
        <f>IF(OR(TRIM(E927)="", TRIM(H927)=""), "", IFERROR(IF(OR(VLOOKUP(E927&amp;"|"&amp;H927&amp;"", DB!$A:$N, 6, FALSE)="", VLOOKUP(E927&amp;"|"&amp;H927&amp;"", DB!$A:$N, 6, FALSE)="-"), "", VLOOKUP(E927&amp;"|"&amp;H927&amp;"", DB!$A:$N, 6, FALSE)), ""))</f>
        <v/>
      </c>
      <c r="K927" s="35"/>
      <c r="L927" s="35"/>
      <c r="M927" s="35"/>
      <c r="N927" s="35" t="str">
        <f t="shared" si="14"/>
        <v/>
      </c>
      <c r="O927" s="34"/>
      <c r="P927" s="34"/>
      <c r="Q927" s="34"/>
      <c r="R927" s="34"/>
      <c r="S927" s="34"/>
      <c r="T927" s="34"/>
      <c r="U927" s="34"/>
      <c r="V927" s="34"/>
    </row>
    <row r="928" spans="1:22">
      <c r="A928" s="35"/>
      <c r="B928" s="3"/>
      <c r="C928" s="35"/>
      <c r="D928" s="34"/>
      <c r="E928" s="34"/>
      <c r="F928" s="35"/>
      <c r="G928" s="35"/>
      <c r="H928" s="3"/>
      <c r="I928" s="35"/>
      <c r="J928" s="35" t="str">
        <f>IF(OR(TRIM(E928)="", TRIM(H928)=""), "", IFERROR(IF(OR(VLOOKUP(E928&amp;"|"&amp;H928&amp;"", DB!$A:$N, 6, FALSE)="", VLOOKUP(E928&amp;"|"&amp;H928&amp;"", DB!$A:$N, 6, FALSE)="-"), "", VLOOKUP(E928&amp;"|"&amp;H928&amp;"", DB!$A:$N, 6, FALSE)), ""))</f>
        <v/>
      </c>
      <c r="K928" s="35"/>
      <c r="L928" s="35"/>
      <c r="M928" s="35"/>
      <c r="N928" s="35" t="str">
        <f t="shared" si="14"/>
        <v/>
      </c>
      <c r="O928" s="34"/>
      <c r="P928" s="34"/>
      <c r="Q928" s="34"/>
      <c r="R928" s="34"/>
      <c r="S928" s="34"/>
      <c r="T928" s="34"/>
      <c r="U928" s="34"/>
      <c r="V928" s="34"/>
    </row>
    <row r="929" spans="1:22">
      <c r="A929" s="35"/>
      <c r="B929" s="3"/>
      <c r="C929" s="35"/>
      <c r="D929" s="34"/>
      <c r="E929" s="34"/>
      <c r="F929" s="35"/>
      <c r="G929" s="35"/>
      <c r="H929" s="3"/>
      <c r="I929" s="35"/>
      <c r="J929" s="35" t="str">
        <f>IF(OR(TRIM(E929)="", TRIM(H929)=""), "", IFERROR(IF(OR(VLOOKUP(E929&amp;"|"&amp;H929&amp;"", DB!$A:$N, 6, FALSE)="", VLOOKUP(E929&amp;"|"&amp;H929&amp;"", DB!$A:$N, 6, FALSE)="-"), "", VLOOKUP(E929&amp;"|"&amp;H929&amp;"", DB!$A:$N, 6, FALSE)), ""))</f>
        <v/>
      </c>
      <c r="K929" s="35"/>
      <c r="L929" s="35"/>
      <c r="M929" s="35"/>
      <c r="N929" s="35" t="str">
        <f t="shared" si="14"/>
        <v/>
      </c>
      <c r="O929" s="34"/>
      <c r="P929" s="34"/>
      <c r="Q929" s="34"/>
      <c r="R929" s="34"/>
      <c r="S929" s="34"/>
      <c r="T929" s="34"/>
      <c r="U929" s="34"/>
      <c r="V929" s="34"/>
    </row>
    <row r="930" spans="1:22">
      <c r="A930" s="35"/>
      <c r="B930" s="3"/>
      <c r="C930" s="35"/>
      <c r="D930" s="34"/>
      <c r="E930" s="34"/>
      <c r="F930" s="35"/>
      <c r="G930" s="35"/>
      <c r="H930" s="3"/>
      <c r="I930" s="35"/>
      <c r="J930" s="35" t="str">
        <f>IF(OR(TRIM(E930)="", TRIM(H930)=""), "", IFERROR(IF(OR(VLOOKUP(E930&amp;"|"&amp;H930&amp;"", DB!$A:$N, 6, FALSE)="", VLOOKUP(E930&amp;"|"&amp;H930&amp;"", DB!$A:$N, 6, FALSE)="-"), "", VLOOKUP(E930&amp;"|"&amp;H930&amp;"", DB!$A:$N, 6, FALSE)), ""))</f>
        <v/>
      </c>
      <c r="K930" s="35"/>
      <c r="L930" s="35"/>
      <c r="M930" s="35"/>
      <c r="N930" s="35" t="str">
        <f t="shared" si="14"/>
        <v/>
      </c>
      <c r="O930" s="34"/>
      <c r="P930" s="34"/>
      <c r="Q930" s="34"/>
      <c r="R930" s="34"/>
      <c r="S930" s="34"/>
      <c r="T930" s="34"/>
      <c r="U930" s="34"/>
      <c r="V930" s="34"/>
    </row>
    <row r="931" spans="1:22">
      <c r="A931" s="35"/>
      <c r="B931" s="3"/>
      <c r="C931" s="35"/>
      <c r="D931" s="34"/>
      <c r="E931" s="34"/>
      <c r="F931" s="35"/>
      <c r="G931" s="35"/>
      <c r="H931" s="3"/>
      <c r="I931" s="35"/>
      <c r="J931" s="35" t="str">
        <f>IF(OR(TRIM(E931)="", TRIM(H931)=""), "", IFERROR(IF(OR(VLOOKUP(E931&amp;"|"&amp;H931&amp;"", DB!$A:$N, 6, FALSE)="", VLOOKUP(E931&amp;"|"&amp;H931&amp;"", DB!$A:$N, 6, FALSE)="-"), "", VLOOKUP(E931&amp;"|"&amp;H931&amp;"", DB!$A:$N, 6, FALSE)), ""))</f>
        <v/>
      </c>
      <c r="K931" s="35"/>
      <c r="L931" s="35"/>
      <c r="M931" s="35"/>
      <c r="N931" s="35" t="str">
        <f t="shared" si="14"/>
        <v/>
      </c>
      <c r="O931" s="34"/>
      <c r="P931" s="34"/>
      <c r="Q931" s="34"/>
      <c r="R931" s="34"/>
      <c r="S931" s="34"/>
      <c r="T931" s="34"/>
      <c r="U931" s="34"/>
      <c r="V931" s="34"/>
    </row>
    <row r="932" spans="1:22">
      <c r="A932" s="35"/>
      <c r="B932" s="3"/>
      <c r="C932" s="35"/>
      <c r="D932" s="34"/>
      <c r="E932" s="34"/>
      <c r="F932" s="35"/>
      <c r="G932" s="35"/>
      <c r="H932" s="3"/>
      <c r="I932" s="35"/>
      <c r="J932" s="35" t="str">
        <f>IF(OR(TRIM(E932)="", TRIM(H932)=""), "", IFERROR(IF(OR(VLOOKUP(E932&amp;"|"&amp;H932&amp;"", DB!$A:$N, 6, FALSE)="", VLOOKUP(E932&amp;"|"&amp;H932&amp;"", DB!$A:$N, 6, FALSE)="-"), "", VLOOKUP(E932&amp;"|"&amp;H932&amp;"", DB!$A:$N, 6, FALSE)), ""))</f>
        <v/>
      </c>
      <c r="K932" s="35"/>
      <c r="L932" s="35"/>
      <c r="M932" s="35"/>
      <c r="N932" s="35" t="str">
        <f t="shared" si="14"/>
        <v/>
      </c>
      <c r="O932" s="34"/>
      <c r="P932" s="34"/>
      <c r="Q932" s="34"/>
      <c r="R932" s="34"/>
      <c r="S932" s="34"/>
      <c r="T932" s="34"/>
      <c r="U932" s="34"/>
      <c r="V932" s="34"/>
    </row>
    <row r="933" spans="1:22">
      <c r="A933" s="35"/>
      <c r="B933" s="3"/>
      <c r="C933" s="35"/>
      <c r="D933" s="34"/>
      <c r="E933" s="34"/>
      <c r="F933" s="35"/>
      <c r="G933" s="35"/>
      <c r="H933" s="3"/>
      <c r="I933" s="35"/>
      <c r="J933" s="35" t="str">
        <f>IF(OR(TRIM(E933)="", TRIM(H933)=""), "", IFERROR(IF(OR(VLOOKUP(E933&amp;"|"&amp;H933&amp;"", DB!$A:$N, 6, FALSE)="", VLOOKUP(E933&amp;"|"&amp;H933&amp;"", DB!$A:$N, 6, FALSE)="-"), "", VLOOKUP(E933&amp;"|"&amp;H933&amp;"", DB!$A:$N, 6, FALSE)), ""))</f>
        <v/>
      </c>
      <c r="K933" s="35"/>
      <c r="L933" s="35"/>
      <c r="M933" s="35"/>
      <c r="N933" s="35" t="str">
        <f t="shared" si="14"/>
        <v/>
      </c>
      <c r="O933" s="34"/>
      <c r="P933" s="34"/>
      <c r="Q933" s="34"/>
      <c r="R933" s="34"/>
      <c r="S933" s="34"/>
      <c r="T933" s="34"/>
      <c r="U933" s="34"/>
      <c r="V933" s="34"/>
    </row>
    <row r="934" spans="1:22">
      <c r="A934" s="35"/>
      <c r="B934" s="3"/>
      <c r="C934" s="35"/>
      <c r="D934" s="34"/>
      <c r="E934" s="34"/>
      <c r="F934" s="35"/>
      <c r="G934" s="35"/>
      <c r="H934" s="3"/>
      <c r="I934" s="35"/>
      <c r="J934" s="35" t="str">
        <f>IF(OR(TRIM(E934)="", TRIM(H934)=""), "", IFERROR(IF(OR(VLOOKUP(E934&amp;"|"&amp;H934&amp;"", DB!$A:$N, 6, FALSE)="", VLOOKUP(E934&amp;"|"&amp;H934&amp;"", DB!$A:$N, 6, FALSE)="-"), "", VLOOKUP(E934&amp;"|"&amp;H934&amp;"", DB!$A:$N, 6, FALSE)), ""))</f>
        <v/>
      </c>
      <c r="K934" s="35"/>
      <c r="L934" s="35"/>
      <c r="M934" s="35"/>
      <c r="N934" s="35" t="str">
        <f t="shared" si="14"/>
        <v/>
      </c>
      <c r="O934" s="34"/>
      <c r="P934" s="34"/>
      <c r="Q934" s="34"/>
      <c r="R934" s="34"/>
      <c r="S934" s="34"/>
      <c r="T934" s="34"/>
      <c r="U934" s="34"/>
      <c r="V934" s="34"/>
    </row>
    <row r="935" spans="1:22">
      <c r="A935" s="35"/>
      <c r="B935" s="3"/>
      <c r="C935" s="35"/>
      <c r="D935" s="34"/>
      <c r="E935" s="34"/>
      <c r="F935" s="35"/>
      <c r="G935" s="35"/>
      <c r="H935" s="3"/>
      <c r="I935" s="35"/>
      <c r="J935" s="35" t="str">
        <f>IF(OR(TRIM(E935)="", TRIM(H935)=""), "", IFERROR(IF(OR(VLOOKUP(E935&amp;"|"&amp;H935&amp;"", DB!$A:$N, 6, FALSE)="", VLOOKUP(E935&amp;"|"&amp;H935&amp;"", DB!$A:$N, 6, FALSE)="-"), "", VLOOKUP(E935&amp;"|"&amp;H935&amp;"", DB!$A:$N, 6, FALSE)), ""))</f>
        <v/>
      </c>
      <c r="K935" s="35"/>
      <c r="L935" s="35"/>
      <c r="M935" s="35"/>
      <c r="N935" s="35" t="str">
        <f t="shared" si="14"/>
        <v/>
      </c>
      <c r="O935" s="34"/>
      <c r="P935" s="34"/>
      <c r="Q935" s="34"/>
      <c r="R935" s="34"/>
      <c r="S935" s="34"/>
      <c r="T935" s="34"/>
      <c r="U935" s="34"/>
      <c r="V935" s="34"/>
    </row>
    <row r="936" spans="1:22">
      <c r="A936" s="35"/>
      <c r="B936" s="3"/>
      <c r="C936" s="35"/>
      <c r="D936" s="34"/>
      <c r="E936" s="34"/>
      <c r="F936" s="35"/>
      <c r="G936" s="35"/>
      <c r="H936" s="3"/>
      <c r="I936" s="35"/>
      <c r="J936" s="35" t="str">
        <f>IF(OR(TRIM(E936)="", TRIM(H936)=""), "", IFERROR(IF(OR(VLOOKUP(E936&amp;"|"&amp;H936&amp;"", DB!$A:$N, 6, FALSE)="", VLOOKUP(E936&amp;"|"&amp;H936&amp;"", DB!$A:$N, 6, FALSE)="-"), "", VLOOKUP(E936&amp;"|"&amp;H936&amp;"", DB!$A:$N, 6, FALSE)), ""))</f>
        <v/>
      </c>
      <c r="K936" s="35"/>
      <c r="L936" s="35"/>
      <c r="M936" s="35"/>
      <c r="N936" s="35" t="str">
        <f t="shared" si="14"/>
        <v/>
      </c>
      <c r="O936" s="34"/>
      <c r="P936" s="34"/>
      <c r="Q936" s="34"/>
      <c r="R936" s="34"/>
      <c r="S936" s="34"/>
      <c r="T936" s="34"/>
      <c r="U936" s="34"/>
      <c r="V936" s="34"/>
    </row>
    <row r="937" spans="1:22">
      <c r="A937" s="35"/>
      <c r="B937" s="3"/>
      <c r="C937" s="35"/>
      <c r="D937" s="34"/>
      <c r="E937" s="34"/>
      <c r="F937" s="35"/>
      <c r="G937" s="35"/>
      <c r="H937" s="3"/>
      <c r="I937" s="35"/>
      <c r="J937" s="35" t="str">
        <f>IF(OR(TRIM(E937)="", TRIM(H937)=""), "", IFERROR(IF(OR(VLOOKUP(E937&amp;"|"&amp;H937&amp;"", DB!$A:$N, 6, FALSE)="", VLOOKUP(E937&amp;"|"&amp;H937&amp;"", DB!$A:$N, 6, FALSE)="-"), "", VLOOKUP(E937&amp;"|"&amp;H937&amp;"", DB!$A:$N, 6, FALSE)), ""))</f>
        <v/>
      </c>
      <c r="K937" s="35"/>
      <c r="L937" s="35"/>
      <c r="M937" s="35"/>
      <c r="N937" s="35" t="str">
        <f t="shared" si="14"/>
        <v/>
      </c>
      <c r="O937" s="34"/>
      <c r="P937" s="34"/>
      <c r="Q937" s="34"/>
      <c r="R937" s="34"/>
      <c r="S937" s="34"/>
      <c r="T937" s="34"/>
      <c r="U937" s="34"/>
      <c r="V937" s="34"/>
    </row>
    <row r="938" spans="1:22">
      <c r="A938" s="35"/>
      <c r="B938" s="3"/>
      <c r="C938" s="35"/>
      <c r="D938" s="34"/>
      <c r="E938" s="34"/>
      <c r="F938" s="35"/>
      <c r="G938" s="35"/>
      <c r="H938" s="3"/>
      <c r="I938" s="35"/>
      <c r="J938" s="35" t="str">
        <f>IF(OR(TRIM(E938)="", TRIM(H938)=""), "", IFERROR(IF(OR(VLOOKUP(E938&amp;"|"&amp;H938&amp;"", DB!$A:$N, 6, FALSE)="", VLOOKUP(E938&amp;"|"&amp;H938&amp;"", DB!$A:$N, 6, FALSE)="-"), "", VLOOKUP(E938&amp;"|"&amp;H938&amp;"", DB!$A:$N, 6, FALSE)), ""))</f>
        <v/>
      </c>
      <c r="K938" s="35"/>
      <c r="L938" s="35"/>
      <c r="M938" s="35"/>
      <c r="N938" s="35" t="str">
        <f t="shared" si="14"/>
        <v/>
      </c>
      <c r="O938" s="34"/>
      <c r="P938" s="34"/>
      <c r="Q938" s="34"/>
      <c r="R938" s="34"/>
      <c r="S938" s="34"/>
      <c r="T938" s="34"/>
      <c r="U938" s="34"/>
      <c r="V938" s="34"/>
    </row>
    <row r="939" spans="1:22">
      <c r="A939" s="35"/>
      <c r="B939" s="3"/>
      <c r="C939" s="35"/>
      <c r="D939" s="34"/>
      <c r="E939" s="34"/>
      <c r="F939" s="35"/>
      <c r="G939" s="35"/>
      <c r="H939" s="3"/>
      <c r="I939" s="35"/>
      <c r="J939" s="35" t="str">
        <f>IF(OR(TRIM(E939)="", TRIM(H939)=""), "", IFERROR(IF(OR(VLOOKUP(E939&amp;"|"&amp;H939&amp;"", DB!$A:$N, 6, FALSE)="", VLOOKUP(E939&amp;"|"&amp;H939&amp;"", DB!$A:$N, 6, FALSE)="-"), "", VLOOKUP(E939&amp;"|"&amp;H939&amp;"", DB!$A:$N, 6, FALSE)), ""))</f>
        <v/>
      </c>
      <c r="K939" s="35"/>
      <c r="L939" s="35"/>
      <c r="M939" s="35"/>
      <c r="N939" s="35" t="str">
        <f t="shared" si="14"/>
        <v/>
      </c>
      <c r="O939" s="34"/>
      <c r="P939" s="34"/>
      <c r="Q939" s="34"/>
      <c r="R939" s="34"/>
      <c r="S939" s="34"/>
      <c r="T939" s="34"/>
      <c r="U939" s="34"/>
      <c r="V939" s="34"/>
    </row>
    <row r="940" spans="1:22">
      <c r="A940" s="35"/>
      <c r="B940" s="3"/>
      <c r="C940" s="35"/>
      <c r="D940" s="34"/>
      <c r="E940" s="34"/>
      <c r="F940" s="35"/>
      <c r="G940" s="35"/>
      <c r="H940" s="3"/>
      <c r="I940" s="35"/>
      <c r="J940" s="35" t="str">
        <f>IF(OR(TRIM(E940)="", TRIM(H940)=""), "", IFERROR(IF(OR(VLOOKUP(E940&amp;"|"&amp;H940&amp;"", DB!$A:$N, 6, FALSE)="", VLOOKUP(E940&amp;"|"&amp;H940&amp;"", DB!$A:$N, 6, FALSE)="-"), "", VLOOKUP(E940&amp;"|"&amp;H940&amp;"", DB!$A:$N, 6, FALSE)), ""))</f>
        <v/>
      </c>
      <c r="K940" s="35"/>
      <c r="L940" s="35"/>
      <c r="M940" s="35"/>
      <c r="N940" s="35" t="str">
        <f t="shared" si="14"/>
        <v/>
      </c>
      <c r="O940" s="34"/>
      <c r="P940" s="34"/>
      <c r="Q940" s="34"/>
      <c r="R940" s="34"/>
      <c r="S940" s="34"/>
      <c r="T940" s="34"/>
      <c r="U940" s="34"/>
      <c r="V940" s="34"/>
    </row>
    <row r="941" spans="1:22">
      <c r="A941" s="35"/>
      <c r="B941" s="3"/>
      <c r="C941" s="35"/>
      <c r="D941" s="34"/>
      <c r="E941" s="34"/>
      <c r="F941" s="35"/>
      <c r="G941" s="35"/>
      <c r="H941" s="3"/>
      <c r="I941" s="35"/>
      <c r="J941" s="35" t="str">
        <f>IF(OR(TRIM(E941)="", TRIM(H941)=""), "", IFERROR(IF(OR(VLOOKUP(E941&amp;"|"&amp;H941&amp;"", DB!$A:$N, 6, FALSE)="", VLOOKUP(E941&amp;"|"&amp;H941&amp;"", DB!$A:$N, 6, FALSE)="-"), "", VLOOKUP(E941&amp;"|"&amp;H941&amp;"", DB!$A:$N, 6, FALSE)), ""))</f>
        <v/>
      </c>
      <c r="K941" s="35"/>
      <c r="L941" s="35"/>
      <c r="M941" s="35"/>
      <c r="N941" s="35" t="str">
        <f t="shared" si="14"/>
        <v/>
      </c>
      <c r="O941" s="34"/>
      <c r="P941" s="34"/>
      <c r="Q941" s="34"/>
      <c r="R941" s="34"/>
      <c r="S941" s="34"/>
      <c r="T941" s="34"/>
      <c r="U941" s="34"/>
      <c r="V941" s="34"/>
    </row>
    <row r="942" spans="1:22">
      <c r="A942" s="35"/>
      <c r="B942" s="3"/>
      <c r="C942" s="35"/>
      <c r="D942" s="34"/>
      <c r="E942" s="34"/>
      <c r="F942" s="35"/>
      <c r="G942" s="35"/>
      <c r="H942" s="3"/>
      <c r="I942" s="35"/>
      <c r="J942" s="35" t="str">
        <f>IF(OR(TRIM(E942)="", TRIM(H942)=""), "", IFERROR(IF(OR(VLOOKUP(E942&amp;"|"&amp;H942&amp;"", DB!$A:$N, 6, FALSE)="", VLOOKUP(E942&amp;"|"&amp;H942&amp;"", DB!$A:$N, 6, FALSE)="-"), "", VLOOKUP(E942&amp;"|"&amp;H942&amp;"", DB!$A:$N, 6, FALSE)), ""))</f>
        <v/>
      </c>
      <c r="K942" s="35"/>
      <c r="L942" s="35"/>
      <c r="M942" s="35"/>
      <c r="N942" s="35" t="str">
        <f t="shared" si="14"/>
        <v/>
      </c>
      <c r="O942" s="34"/>
      <c r="P942" s="34"/>
      <c r="Q942" s="34"/>
      <c r="R942" s="34"/>
      <c r="S942" s="34"/>
      <c r="T942" s="34"/>
      <c r="U942" s="34"/>
      <c r="V942" s="34"/>
    </row>
    <row r="943" spans="1:22">
      <c r="A943" s="35"/>
      <c r="B943" s="3"/>
      <c r="C943" s="35"/>
      <c r="D943" s="34"/>
      <c r="E943" s="34"/>
      <c r="F943" s="35"/>
      <c r="G943" s="35"/>
      <c r="H943" s="3"/>
      <c r="I943" s="35"/>
      <c r="J943" s="35" t="str">
        <f>IF(OR(TRIM(E943)="", TRIM(H943)=""), "", IFERROR(IF(OR(VLOOKUP(E943&amp;"|"&amp;H943&amp;"", DB!$A:$N, 6, FALSE)="", VLOOKUP(E943&amp;"|"&amp;H943&amp;"", DB!$A:$N, 6, FALSE)="-"), "", VLOOKUP(E943&amp;"|"&amp;H943&amp;"", DB!$A:$N, 6, FALSE)), ""))</f>
        <v/>
      </c>
      <c r="K943" s="35"/>
      <c r="L943" s="35"/>
      <c r="M943" s="35"/>
      <c r="N943" s="35" t="str">
        <f t="shared" si="14"/>
        <v/>
      </c>
      <c r="O943" s="34"/>
      <c r="P943" s="34"/>
      <c r="Q943" s="34"/>
      <c r="R943" s="34"/>
      <c r="S943" s="34"/>
      <c r="T943" s="34"/>
      <c r="U943" s="34"/>
      <c r="V943" s="34"/>
    </row>
    <row r="944" spans="1:22">
      <c r="A944" s="35"/>
      <c r="B944" s="3"/>
      <c r="C944" s="35"/>
      <c r="D944" s="34"/>
      <c r="E944" s="34"/>
      <c r="F944" s="35"/>
      <c r="G944" s="35"/>
      <c r="H944" s="3"/>
      <c r="I944" s="35"/>
      <c r="J944" s="35" t="str">
        <f>IF(OR(TRIM(E944)="", TRIM(H944)=""), "", IFERROR(IF(OR(VLOOKUP(E944&amp;"|"&amp;H944&amp;"", DB!$A:$N, 6, FALSE)="", VLOOKUP(E944&amp;"|"&amp;H944&amp;"", DB!$A:$N, 6, FALSE)="-"), "", VLOOKUP(E944&amp;"|"&amp;H944&amp;"", DB!$A:$N, 6, FALSE)), ""))</f>
        <v/>
      </c>
      <c r="K944" s="35"/>
      <c r="L944" s="35"/>
      <c r="M944" s="35"/>
      <c r="N944" s="35" t="str">
        <f t="shared" si="14"/>
        <v/>
      </c>
      <c r="O944" s="34"/>
      <c r="P944" s="34"/>
      <c r="Q944" s="34"/>
      <c r="R944" s="34"/>
      <c r="S944" s="34"/>
      <c r="T944" s="34"/>
      <c r="U944" s="34"/>
      <c r="V944" s="34"/>
    </row>
    <row r="945" spans="1:22">
      <c r="A945" s="35"/>
      <c r="B945" s="3"/>
      <c r="C945" s="35"/>
      <c r="D945" s="34"/>
      <c r="E945" s="34"/>
      <c r="F945" s="35"/>
      <c r="G945" s="35"/>
      <c r="H945" s="3"/>
      <c r="I945" s="35"/>
      <c r="J945" s="35" t="str">
        <f>IF(OR(TRIM(E945)="", TRIM(H945)=""), "", IFERROR(IF(OR(VLOOKUP(E945&amp;"|"&amp;H945&amp;"", DB!$A:$N, 6, FALSE)="", VLOOKUP(E945&amp;"|"&amp;H945&amp;"", DB!$A:$N, 6, FALSE)="-"), "", VLOOKUP(E945&amp;"|"&amp;H945&amp;"", DB!$A:$N, 6, FALSE)), ""))</f>
        <v/>
      </c>
      <c r="K945" s="35"/>
      <c r="L945" s="35"/>
      <c r="M945" s="35"/>
      <c r="N945" s="35" t="str">
        <f t="shared" si="14"/>
        <v/>
      </c>
      <c r="O945" s="34"/>
      <c r="P945" s="34"/>
      <c r="Q945" s="34"/>
      <c r="R945" s="34"/>
      <c r="S945" s="34"/>
      <c r="T945" s="34"/>
      <c r="U945" s="34"/>
      <c r="V945" s="34"/>
    </row>
    <row r="946" spans="1:22">
      <c r="A946" s="35"/>
      <c r="B946" s="3"/>
      <c r="C946" s="35"/>
      <c r="D946" s="34"/>
      <c r="E946" s="34"/>
      <c r="F946" s="35"/>
      <c r="G946" s="35"/>
      <c r="H946" s="3"/>
      <c r="I946" s="35"/>
      <c r="J946" s="35" t="str">
        <f>IF(OR(TRIM(E946)="", TRIM(H946)=""), "", IFERROR(IF(OR(VLOOKUP(E946&amp;"|"&amp;H946&amp;"", DB!$A:$N, 6, FALSE)="", VLOOKUP(E946&amp;"|"&amp;H946&amp;"", DB!$A:$N, 6, FALSE)="-"), "", VLOOKUP(E946&amp;"|"&amp;H946&amp;"", DB!$A:$N, 6, FALSE)), ""))</f>
        <v/>
      </c>
      <c r="K946" s="35"/>
      <c r="L946" s="35"/>
      <c r="M946" s="35"/>
      <c r="N946" s="35" t="str">
        <f t="shared" si="14"/>
        <v/>
      </c>
      <c r="O946" s="34"/>
      <c r="P946" s="34"/>
      <c r="Q946" s="34"/>
      <c r="R946" s="34"/>
      <c r="S946" s="34"/>
      <c r="T946" s="34"/>
      <c r="U946" s="34"/>
      <c r="V946" s="34"/>
    </row>
    <row r="947" spans="1:22">
      <c r="A947" s="35"/>
      <c r="B947" s="3"/>
      <c r="C947" s="35"/>
      <c r="D947" s="34"/>
      <c r="E947" s="34"/>
      <c r="F947" s="35"/>
      <c r="G947" s="35"/>
      <c r="H947" s="3"/>
      <c r="I947" s="35"/>
      <c r="J947" s="35" t="str">
        <f>IF(OR(TRIM(E947)="", TRIM(H947)=""), "", IFERROR(IF(OR(VLOOKUP(E947&amp;"|"&amp;H947&amp;"", DB!$A:$N, 6, FALSE)="", VLOOKUP(E947&amp;"|"&amp;H947&amp;"", DB!$A:$N, 6, FALSE)="-"), "", VLOOKUP(E947&amp;"|"&amp;H947&amp;"", DB!$A:$N, 6, FALSE)), ""))</f>
        <v/>
      </c>
      <c r="K947" s="35"/>
      <c r="L947" s="35"/>
      <c r="M947" s="35"/>
      <c r="N947" s="35" t="str">
        <f t="shared" si="14"/>
        <v/>
      </c>
      <c r="O947" s="34"/>
      <c r="P947" s="34"/>
      <c r="Q947" s="34"/>
      <c r="R947" s="34"/>
      <c r="S947" s="34"/>
      <c r="T947" s="34"/>
      <c r="U947" s="34"/>
      <c r="V947" s="34"/>
    </row>
    <row r="948" spans="1:22">
      <c r="A948" s="35"/>
      <c r="B948" s="3"/>
      <c r="C948" s="35"/>
      <c r="D948" s="34"/>
      <c r="E948" s="34"/>
      <c r="F948" s="35"/>
      <c r="G948" s="35"/>
      <c r="H948" s="3"/>
      <c r="I948" s="35"/>
      <c r="J948" s="35" t="str">
        <f>IF(OR(TRIM(E948)="", TRIM(H948)=""), "", IFERROR(IF(OR(VLOOKUP(E948&amp;"|"&amp;H948&amp;"", DB!$A:$N, 6, FALSE)="", VLOOKUP(E948&amp;"|"&amp;H948&amp;"", DB!$A:$N, 6, FALSE)="-"), "", VLOOKUP(E948&amp;"|"&amp;H948&amp;"", DB!$A:$N, 6, FALSE)), ""))</f>
        <v/>
      </c>
      <c r="K948" s="35"/>
      <c r="L948" s="35"/>
      <c r="M948" s="35"/>
      <c r="N948" s="35" t="str">
        <f t="shared" si="14"/>
        <v/>
      </c>
      <c r="O948" s="34"/>
      <c r="P948" s="34"/>
      <c r="Q948" s="34"/>
      <c r="R948" s="34"/>
      <c r="S948" s="34"/>
      <c r="T948" s="34"/>
      <c r="U948" s="34"/>
      <c r="V948" s="34"/>
    </row>
    <row r="949" spans="1:22">
      <c r="A949" s="35"/>
      <c r="B949" s="3"/>
      <c r="C949" s="35"/>
      <c r="D949" s="34"/>
      <c r="E949" s="34"/>
      <c r="F949" s="35"/>
      <c r="G949" s="35"/>
      <c r="H949" s="3"/>
      <c r="I949" s="35"/>
      <c r="J949" s="35" t="str">
        <f>IF(OR(TRIM(E949)="", TRIM(H949)=""), "", IFERROR(IF(OR(VLOOKUP(E949&amp;"|"&amp;H949&amp;"", DB!$A:$N, 6, FALSE)="", VLOOKUP(E949&amp;"|"&amp;H949&amp;"", DB!$A:$N, 6, FALSE)="-"), "", VLOOKUP(E949&amp;"|"&amp;H949&amp;"", DB!$A:$N, 6, FALSE)), ""))</f>
        <v/>
      </c>
      <c r="K949" s="35"/>
      <c r="L949" s="35"/>
      <c r="M949" s="35"/>
      <c r="N949" s="35" t="str">
        <f t="shared" si="14"/>
        <v/>
      </c>
      <c r="O949" s="34"/>
      <c r="P949" s="34"/>
      <c r="Q949" s="34"/>
      <c r="R949" s="34"/>
      <c r="S949" s="34"/>
      <c r="T949" s="34"/>
      <c r="U949" s="34"/>
      <c r="V949" s="34"/>
    </row>
    <row r="950" spans="1:22">
      <c r="A950" s="35"/>
      <c r="B950" s="3"/>
      <c r="C950" s="35"/>
      <c r="D950" s="34"/>
      <c r="E950" s="34"/>
      <c r="F950" s="35"/>
      <c r="G950" s="35"/>
      <c r="H950" s="3"/>
      <c r="I950" s="35"/>
      <c r="J950" s="35" t="str">
        <f>IF(OR(TRIM(E950)="", TRIM(H950)=""), "", IFERROR(IF(OR(VLOOKUP(E950&amp;"|"&amp;H950&amp;"", DB!$A:$N, 6, FALSE)="", VLOOKUP(E950&amp;"|"&amp;H950&amp;"", DB!$A:$N, 6, FALSE)="-"), "", VLOOKUP(E950&amp;"|"&amp;H950&amp;"", DB!$A:$N, 6, FALSE)), ""))</f>
        <v/>
      </c>
      <c r="K950" s="35"/>
      <c r="L950" s="35"/>
      <c r="M950" s="35"/>
      <c r="N950" s="35" t="str">
        <f t="shared" si="14"/>
        <v/>
      </c>
      <c r="O950" s="34"/>
      <c r="P950" s="34"/>
      <c r="Q950" s="34"/>
      <c r="R950" s="34"/>
      <c r="S950" s="34"/>
      <c r="T950" s="34"/>
      <c r="U950" s="34"/>
      <c r="V950" s="34"/>
    </row>
    <row r="951" spans="1:22">
      <c r="A951" s="35"/>
      <c r="B951" s="3"/>
      <c r="C951" s="35"/>
      <c r="D951" s="34"/>
      <c r="E951" s="34"/>
      <c r="F951" s="35"/>
      <c r="G951" s="35"/>
      <c r="H951" s="3"/>
      <c r="I951" s="35"/>
      <c r="J951" s="35" t="str">
        <f>IF(OR(TRIM(E951)="", TRIM(H951)=""), "", IFERROR(IF(OR(VLOOKUP(E951&amp;"|"&amp;H951&amp;"", DB!$A:$N, 6, FALSE)="", VLOOKUP(E951&amp;"|"&amp;H951&amp;"", DB!$A:$N, 6, FALSE)="-"), "", VLOOKUP(E951&amp;"|"&amp;H951&amp;"", DB!$A:$N, 6, FALSE)), ""))</f>
        <v/>
      </c>
      <c r="K951" s="35"/>
      <c r="L951" s="35"/>
      <c r="M951" s="35"/>
      <c r="N951" s="35" t="str">
        <f t="shared" si="14"/>
        <v/>
      </c>
      <c r="O951" s="34"/>
      <c r="P951" s="34"/>
      <c r="Q951" s="34"/>
      <c r="R951" s="34"/>
      <c r="S951" s="34"/>
      <c r="T951" s="34"/>
      <c r="U951" s="34"/>
      <c r="V951" s="34"/>
    </row>
    <row r="952" spans="1:22">
      <c r="A952" s="35"/>
      <c r="B952" s="3"/>
      <c r="C952" s="35"/>
      <c r="D952" s="34"/>
      <c r="E952" s="34"/>
      <c r="F952" s="35"/>
      <c r="G952" s="35"/>
      <c r="H952" s="3"/>
      <c r="I952" s="35"/>
      <c r="J952" s="35" t="str">
        <f>IF(OR(TRIM(E952)="", TRIM(H952)=""), "", IFERROR(IF(OR(VLOOKUP(E952&amp;"|"&amp;H952&amp;"", DB!$A:$N, 6, FALSE)="", VLOOKUP(E952&amp;"|"&amp;H952&amp;"", DB!$A:$N, 6, FALSE)="-"), "", VLOOKUP(E952&amp;"|"&amp;H952&amp;"", DB!$A:$N, 6, FALSE)), ""))</f>
        <v/>
      </c>
      <c r="K952" s="35"/>
      <c r="L952" s="35"/>
      <c r="M952" s="35"/>
      <c r="N952" s="35" t="str">
        <f t="shared" si="14"/>
        <v/>
      </c>
      <c r="O952" s="34"/>
      <c r="P952" s="34"/>
      <c r="Q952" s="34"/>
      <c r="R952" s="34"/>
      <c r="S952" s="34"/>
      <c r="T952" s="34"/>
      <c r="U952" s="34"/>
      <c r="V952" s="34"/>
    </row>
    <row r="953" spans="1:22">
      <c r="A953" s="35"/>
      <c r="B953" s="3"/>
      <c r="C953" s="35"/>
      <c r="D953" s="34"/>
      <c r="E953" s="34"/>
      <c r="F953" s="35"/>
      <c r="G953" s="35"/>
      <c r="H953" s="3"/>
      <c r="I953" s="35"/>
      <c r="J953" s="35" t="str">
        <f>IF(OR(TRIM(E953)="", TRIM(H953)=""), "", IFERROR(IF(OR(VLOOKUP(E953&amp;"|"&amp;H953&amp;"", DB!$A:$N, 6, FALSE)="", VLOOKUP(E953&amp;"|"&amp;H953&amp;"", DB!$A:$N, 6, FALSE)="-"), "", VLOOKUP(E953&amp;"|"&amp;H953&amp;"", DB!$A:$N, 6, FALSE)), ""))</f>
        <v/>
      </c>
      <c r="K953" s="35"/>
      <c r="L953" s="35"/>
      <c r="M953" s="35"/>
      <c r="N953" s="35" t="str">
        <f t="shared" si="14"/>
        <v/>
      </c>
      <c r="O953" s="34"/>
      <c r="P953" s="34"/>
      <c r="Q953" s="34"/>
      <c r="R953" s="34"/>
      <c r="S953" s="34"/>
      <c r="T953" s="34"/>
      <c r="U953" s="34"/>
      <c r="V953" s="34"/>
    </row>
    <row r="954" spans="1:22">
      <c r="A954" s="35"/>
      <c r="B954" s="3"/>
      <c r="C954" s="35"/>
      <c r="D954" s="34"/>
      <c r="E954" s="34"/>
      <c r="F954" s="35"/>
      <c r="G954" s="35"/>
      <c r="H954" s="3"/>
      <c r="I954" s="35"/>
      <c r="J954" s="35" t="str">
        <f>IF(OR(TRIM(E954)="", TRIM(H954)=""), "", IFERROR(IF(OR(VLOOKUP(E954&amp;"|"&amp;H954&amp;"", DB!$A:$N, 6, FALSE)="", VLOOKUP(E954&amp;"|"&amp;H954&amp;"", DB!$A:$N, 6, FALSE)="-"), "", VLOOKUP(E954&amp;"|"&amp;H954&amp;"", DB!$A:$N, 6, FALSE)), ""))</f>
        <v/>
      </c>
      <c r="K954" s="35"/>
      <c r="L954" s="35"/>
      <c r="M954" s="35"/>
      <c r="N954" s="35" t="str">
        <f t="shared" si="14"/>
        <v/>
      </c>
      <c r="O954" s="34"/>
      <c r="P954" s="34"/>
      <c r="Q954" s="34"/>
      <c r="R954" s="34"/>
      <c r="S954" s="34"/>
      <c r="T954" s="34"/>
      <c r="U954" s="34"/>
      <c r="V954" s="34"/>
    </row>
    <row r="955" spans="1:22">
      <c r="A955" s="35"/>
      <c r="B955" s="3"/>
      <c r="C955" s="35"/>
      <c r="D955" s="34"/>
      <c r="E955" s="34"/>
      <c r="F955" s="35"/>
      <c r="G955" s="35"/>
      <c r="H955" s="3"/>
      <c r="I955" s="35"/>
      <c r="J955" s="35" t="str">
        <f>IF(OR(TRIM(E955)="", TRIM(H955)=""), "", IFERROR(IF(OR(VLOOKUP(E955&amp;"|"&amp;H955&amp;"", DB!$A:$N, 6, FALSE)="", VLOOKUP(E955&amp;"|"&amp;H955&amp;"", DB!$A:$N, 6, FALSE)="-"), "", VLOOKUP(E955&amp;"|"&amp;H955&amp;"", DB!$A:$N, 6, FALSE)), ""))</f>
        <v/>
      </c>
      <c r="K955" s="35"/>
      <c r="L955" s="35"/>
      <c r="M955" s="35"/>
      <c r="N955" s="35" t="str">
        <f t="shared" si="14"/>
        <v/>
      </c>
      <c r="O955" s="34"/>
      <c r="P955" s="34"/>
      <c r="Q955" s="34"/>
      <c r="R955" s="34"/>
      <c r="S955" s="34"/>
      <c r="T955" s="34"/>
      <c r="U955" s="34"/>
      <c r="V955" s="34"/>
    </row>
    <row r="956" spans="1:22">
      <c r="A956" s="35"/>
      <c r="B956" s="3"/>
      <c r="C956" s="35"/>
      <c r="D956" s="34"/>
      <c r="E956" s="34"/>
      <c r="F956" s="35"/>
      <c r="G956" s="35"/>
      <c r="H956" s="3"/>
      <c r="I956" s="35"/>
      <c r="J956" s="35" t="str">
        <f>IF(OR(TRIM(E956)="", TRIM(H956)=""), "", IFERROR(IF(OR(VLOOKUP(E956&amp;"|"&amp;H956&amp;"", DB!$A:$N, 6, FALSE)="", VLOOKUP(E956&amp;"|"&amp;H956&amp;"", DB!$A:$N, 6, FALSE)="-"), "", VLOOKUP(E956&amp;"|"&amp;H956&amp;"", DB!$A:$N, 6, FALSE)), ""))</f>
        <v/>
      </c>
      <c r="K956" s="35"/>
      <c r="L956" s="35"/>
      <c r="M956" s="35"/>
      <c r="N956" s="35" t="str">
        <f t="shared" si="14"/>
        <v/>
      </c>
      <c r="O956" s="34"/>
      <c r="P956" s="34"/>
      <c r="Q956" s="34"/>
      <c r="R956" s="34"/>
      <c r="S956" s="34"/>
      <c r="T956" s="34"/>
      <c r="U956" s="34"/>
      <c r="V956" s="34"/>
    </row>
    <row r="957" spans="1:22">
      <c r="A957" s="35"/>
      <c r="B957" s="3"/>
      <c r="C957" s="35"/>
      <c r="D957" s="34"/>
      <c r="E957" s="34"/>
      <c r="F957" s="35"/>
      <c r="G957" s="35"/>
      <c r="H957" s="3"/>
      <c r="I957" s="35"/>
      <c r="J957" s="35" t="str">
        <f>IF(OR(TRIM(E957)="", TRIM(H957)=""), "", IFERROR(IF(OR(VLOOKUP(E957&amp;"|"&amp;H957&amp;"", DB!$A:$N, 6, FALSE)="", VLOOKUP(E957&amp;"|"&amp;H957&amp;"", DB!$A:$N, 6, FALSE)="-"), "", VLOOKUP(E957&amp;"|"&amp;H957&amp;"", DB!$A:$N, 6, FALSE)), ""))</f>
        <v/>
      </c>
      <c r="K957" s="35"/>
      <c r="L957" s="35"/>
      <c r="M957" s="35"/>
      <c r="N957" s="35" t="str">
        <f t="shared" si="14"/>
        <v/>
      </c>
      <c r="O957" s="34"/>
      <c r="P957" s="34"/>
      <c r="Q957" s="34"/>
      <c r="R957" s="34"/>
      <c r="S957" s="34"/>
      <c r="T957" s="34"/>
      <c r="U957" s="34"/>
      <c r="V957" s="34"/>
    </row>
    <row r="958" spans="1:22">
      <c r="A958" s="35"/>
      <c r="B958" s="3"/>
      <c r="C958" s="35"/>
      <c r="D958" s="34"/>
      <c r="E958" s="34"/>
      <c r="F958" s="35"/>
      <c r="G958" s="35"/>
      <c r="H958" s="3"/>
      <c r="I958" s="35"/>
      <c r="J958" s="35" t="str">
        <f>IF(OR(TRIM(E958)="", TRIM(H958)=""), "", IFERROR(IF(OR(VLOOKUP(E958&amp;"|"&amp;H958&amp;"", DB!$A:$N, 6, FALSE)="", VLOOKUP(E958&amp;"|"&amp;H958&amp;"", DB!$A:$N, 6, FALSE)="-"), "", VLOOKUP(E958&amp;"|"&amp;H958&amp;"", DB!$A:$N, 6, FALSE)), ""))</f>
        <v/>
      </c>
      <c r="K958" s="35"/>
      <c r="L958" s="35"/>
      <c r="M958" s="35"/>
      <c r="N958" s="35" t="str">
        <f t="shared" si="14"/>
        <v/>
      </c>
      <c r="O958" s="34"/>
      <c r="P958" s="34"/>
      <c r="Q958" s="34"/>
      <c r="R958" s="34"/>
      <c r="S958" s="34"/>
      <c r="T958" s="34"/>
      <c r="U958" s="34"/>
      <c r="V958" s="34"/>
    </row>
    <row r="959" spans="1:22">
      <c r="A959" s="35"/>
      <c r="B959" s="3"/>
      <c r="C959" s="35"/>
      <c r="D959" s="34"/>
      <c r="E959" s="34"/>
      <c r="F959" s="35"/>
      <c r="G959" s="35"/>
      <c r="H959" s="3"/>
      <c r="I959" s="35"/>
      <c r="J959" s="35" t="str">
        <f>IF(OR(TRIM(E959)="", TRIM(H959)=""), "", IFERROR(IF(OR(VLOOKUP(E959&amp;"|"&amp;H959&amp;"", DB!$A:$N, 6, FALSE)="", VLOOKUP(E959&amp;"|"&amp;H959&amp;"", DB!$A:$N, 6, FALSE)="-"), "", VLOOKUP(E959&amp;"|"&amp;H959&amp;"", DB!$A:$N, 6, FALSE)), ""))</f>
        <v/>
      </c>
      <c r="K959" s="35"/>
      <c r="L959" s="35"/>
      <c r="M959" s="35"/>
      <c r="N959" s="35" t="str">
        <f t="shared" si="14"/>
        <v/>
      </c>
      <c r="O959" s="34"/>
      <c r="P959" s="34"/>
      <c r="Q959" s="34"/>
      <c r="R959" s="34"/>
      <c r="S959" s="34"/>
      <c r="T959" s="34"/>
      <c r="U959" s="34"/>
      <c r="V959" s="34"/>
    </row>
    <row r="960" spans="1:22">
      <c r="A960" s="35"/>
      <c r="B960" s="3"/>
      <c r="C960" s="35"/>
      <c r="D960" s="34"/>
      <c r="E960" s="34"/>
      <c r="F960" s="35"/>
      <c r="G960" s="35"/>
      <c r="H960" s="3"/>
      <c r="I960" s="35"/>
      <c r="J960" s="35" t="str">
        <f>IF(OR(TRIM(E960)="", TRIM(H960)=""), "", IFERROR(IF(OR(VLOOKUP(E960&amp;"|"&amp;H960&amp;"", DB!$A:$N, 6, FALSE)="", VLOOKUP(E960&amp;"|"&amp;H960&amp;"", DB!$A:$N, 6, FALSE)="-"), "", VLOOKUP(E960&amp;"|"&amp;H960&amp;"", DB!$A:$N, 6, FALSE)), ""))</f>
        <v/>
      </c>
      <c r="K960" s="35"/>
      <c r="L960" s="35"/>
      <c r="M960" s="35"/>
      <c r="N960" s="35" t="str">
        <f t="shared" si="14"/>
        <v/>
      </c>
      <c r="O960" s="34"/>
      <c r="P960" s="34"/>
      <c r="Q960" s="34"/>
      <c r="R960" s="34"/>
      <c r="S960" s="34"/>
      <c r="T960" s="34"/>
      <c r="U960" s="34"/>
      <c r="V960" s="34"/>
    </row>
    <row r="961" spans="1:22">
      <c r="A961" s="35"/>
      <c r="B961" s="3"/>
      <c r="C961" s="35"/>
      <c r="D961" s="34"/>
      <c r="E961" s="34"/>
      <c r="F961" s="35"/>
      <c r="G961" s="35"/>
      <c r="H961" s="3"/>
      <c r="I961" s="35"/>
      <c r="J961" s="35" t="str">
        <f>IF(OR(TRIM(E961)="", TRIM(H961)=""), "", IFERROR(IF(OR(VLOOKUP(E961&amp;"|"&amp;H961&amp;"", DB!$A:$N, 6, FALSE)="", VLOOKUP(E961&amp;"|"&amp;H961&amp;"", DB!$A:$N, 6, FALSE)="-"), "", VLOOKUP(E961&amp;"|"&amp;H961&amp;"", DB!$A:$N, 6, FALSE)), ""))</f>
        <v/>
      </c>
      <c r="K961" s="35"/>
      <c r="L961" s="35"/>
      <c r="M961" s="35"/>
      <c r="N961" s="35" t="str">
        <f t="shared" si="14"/>
        <v/>
      </c>
      <c r="O961" s="34"/>
      <c r="P961" s="34"/>
      <c r="Q961" s="34"/>
      <c r="R961" s="34"/>
      <c r="S961" s="34"/>
      <c r="T961" s="34"/>
      <c r="U961" s="34"/>
      <c r="V961" s="34"/>
    </row>
    <row r="962" spans="1:22">
      <c r="A962" s="35"/>
      <c r="B962" s="3"/>
      <c r="C962" s="35"/>
      <c r="D962" s="34"/>
      <c r="E962" s="34"/>
      <c r="F962" s="35"/>
      <c r="G962" s="35"/>
      <c r="H962" s="3"/>
      <c r="I962" s="35"/>
      <c r="J962" s="35" t="str">
        <f>IF(OR(TRIM(E962)="", TRIM(H962)=""), "", IFERROR(IF(OR(VLOOKUP(E962&amp;"|"&amp;H962&amp;"", DB!$A:$N, 6, FALSE)="", VLOOKUP(E962&amp;"|"&amp;H962&amp;"", DB!$A:$N, 6, FALSE)="-"), "", VLOOKUP(E962&amp;"|"&amp;H962&amp;"", DB!$A:$N, 6, FALSE)), ""))</f>
        <v/>
      </c>
      <c r="K962" s="35"/>
      <c r="L962" s="35"/>
      <c r="M962" s="35"/>
      <c r="N962" s="35" t="str">
        <f t="shared" ref="N962:N1000" si="15">IF(TRIM(D962)="", "", IF(N(L962)-N(M962)&lt;=0, "X", N(L962)-N(M962)))</f>
        <v/>
      </c>
      <c r="O962" s="34"/>
      <c r="P962" s="34"/>
      <c r="Q962" s="34"/>
      <c r="R962" s="34"/>
      <c r="S962" s="34"/>
      <c r="T962" s="34"/>
      <c r="U962" s="34"/>
      <c r="V962" s="34"/>
    </row>
    <row r="963" spans="1:22">
      <c r="A963" s="35"/>
      <c r="B963" s="3"/>
      <c r="C963" s="35"/>
      <c r="D963" s="34"/>
      <c r="E963" s="34"/>
      <c r="F963" s="35"/>
      <c r="G963" s="35"/>
      <c r="H963" s="3"/>
      <c r="I963" s="35"/>
      <c r="J963" s="35" t="str">
        <f>IF(OR(TRIM(E963)="", TRIM(H963)=""), "", IFERROR(IF(OR(VLOOKUP(E963&amp;"|"&amp;H963&amp;"", DB!$A:$N, 6, FALSE)="", VLOOKUP(E963&amp;"|"&amp;H963&amp;"", DB!$A:$N, 6, FALSE)="-"), "", VLOOKUP(E963&amp;"|"&amp;H963&amp;"", DB!$A:$N, 6, FALSE)), ""))</f>
        <v/>
      </c>
      <c r="K963" s="35"/>
      <c r="L963" s="35"/>
      <c r="M963" s="35"/>
      <c r="N963" s="35" t="str">
        <f t="shared" si="15"/>
        <v/>
      </c>
      <c r="O963" s="34"/>
      <c r="P963" s="34"/>
      <c r="Q963" s="34"/>
      <c r="R963" s="34"/>
      <c r="S963" s="34"/>
      <c r="T963" s="34"/>
      <c r="U963" s="34"/>
      <c r="V963" s="34"/>
    </row>
    <row r="964" spans="1:22">
      <c r="A964" s="35"/>
      <c r="B964" s="3"/>
      <c r="C964" s="35"/>
      <c r="D964" s="34"/>
      <c r="E964" s="34"/>
      <c r="F964" s="35"/>
      <c r="G964" s="35"/>
      <c r="H964" s="3"/>
      <c r="I964" s="35"/>
      <c r="J964" s="35" t="str">
        <f>IF(OR(TRIM(E964)="", TRIM(H964)=""), "", IFERROR(IF(OR(VLOOKUP(E964&amp;"|"&amp;H964&amp;"", DB!$A:$N, 6, FALSE)="", VLOOKUP(E964&amp;"|"&amp;H964&amp;"", DB!$A:$N, 6, FALSE)="-"), "", VLOOKUP(E964&amp;"|"&amp;H964&amp;"", DB!$A:$N, 6, FALSE)), ""))</f>
        <v/>
      </c>
      <c r="K964" s="35"/>
      <c r="L964" s="35"/>
      <c r="M964" s="35"/>
      <c r="N964" s="35" t="str">
        <f t="shared" si="15"/>
        <v/>
      </c>
      <c r="O964" s="34"/>
      <c r="P964" s="34"/>
      <c r="Q964" s="34"/>
      <c r="R964" s="34"/>
      <c r="S964" s="34"/>
      <c r="T964" s="34"/>
      <c r="U964" s="34"/>
      <c r="V964" s="34"/>
    </row>
    <row r="965" spans="1:22">
      <c r="A965" s="35"/>
      <c r="B965" s="3"/>
      <c r="C965" s="35"/>
      <c r="D965" s="34"/>
      <c r="E965" s="34"/>
      <c r="F965" s="35"/>
      <c r="G965" s="35"/>
      <c r="H965" s="3"/>
      <c r="I965" s="35"/>
      <c r="J965" s="35" t="str">
        <f>IF(OR(TRIM(E965)="", TRIM(H965)=""), "", IFERROR(IF(OR(VLOOKUP(E965&amp;"|"&amp;H965&amp;"", DB!$A:$N, 6, FALSE)="", VLOOKUP(E965&amp;"|"&amp;H965&amp;"", DB!$A:$N, 6, FALSE)="-"), "", VLOOKUP(E965&amp;"|"&amp;H965&amp;"", DB!$A:$N, 6, FALSE)), ""))</f>
        <v/>
      </c>
      <c r="K965" s="35"/>
      <c r="L965" s="35"/>
      <c r="M965" s="35"/>
      <c r="N965" s="35" t="str">
        <f t="shared" si="15"/>
        <v/>
      </c>
      <c r="O965" s="34"/>
      <c r="P965" s="34"/>
      <c r="Q965" s="34"/>
      <c r="R965" s="34"/>
      <c r="S965" s="34"/>
      <c r="T965" s="34"/>
      <c r="U965" s="34"/>
      <c r="V965" s="34"/>
    </row>
    <row r="966" spans="1:22">
      <c r="A966" s="35"/>
      <c r="B966" s="3"/>
      <c r="C966" s="35"/>
      <c r="D966" s="34"/>
      <c r="E966" s="34"/>
      <c r="F966" s="35"/>
      <c r="G966" s="35"/>
      <c r="H966" s="3"/>
      <c r="I966" s="35"/>
      <c r="J966" s="35" t="str">
        <f>IF(OR(TRIM(E966)="", TRIM(H966)=""), "", IFERROR(IF(OR(VLOOKUP(E966&amp;"|"&amp;H966&amp;"", DB!$A:$N, 6, FALSE)="", VLOOKUP(E966&amp;"|"&amp;H966&amp;"", DB!$A:$N, 6, FALSE)="-"), "", VLOOKUP(E966&amp;"|"&amp;H966&amp;"", DB!$A:$N, 6, FALSE)), ""))</f>
        <v/>
      </c>
      <c r="K966" s="35"/>
      <c r="L966" s="35"/>
      <c r="M966" s="35"/>
      <c r="N966" s="35" t="str">
        <f t="shared" si="15"/>
        <v/>
      </c>
      <c r="O966" s="34"/>
      <c r="P966" s="34"/>
      <c r="Q966" s="34"/>
      <c r="R966" s="34"/>
      <c r="S966" s="34"/>
      <c r="T966" s="34"/>
      <c r="U966" s="34"/>
      <c r="V966" s="34"/>
    </row>
    <row r="967" spans="1:22">
      <c r="A967" s="35"/>
      <c r="B967" s="3"/>
      <c r="C967" s="35"/>
      <c r="D967" s="34"/>
      <c r="E967" s="34"/>
      <c r="F967" s="35"/>
      <c r="G967" s="35"/>
      <c r="H967" s="3"/>
      <c r="I967" s="35"/>
      <c r="J967" s="35" t="str">
        <f>IF(OR(TRIM(E967)="", TRIM(H967)=""), "", IFERROR(IF(OR(VLOOKUP(E967&amp;"|"&amp;H967&amp;"", DB!$A:$N, 6, FALSE)="", VLOOKUP(E967&amp;"|"&amp;H967&amp;"", DB!$A:$N, 6, FALSE)="-"), "", VLOOKUP(E967&amp;"|"&amp;H967&amp;"", DB!$A:$N, 6, FALSE)), ""))</f>
        <v/>
      </c>
      <c r="K967" s="35"/>
      <c r="L967" s="35"/>
      <c r="M967" s="35"/>
      <c r="N967" s="35" t="str">
        <f t="shared" si="15"/>
        <v/>
      </c>
      <c r="O967" s="34"/>
      <c r="P967" s="34"/>
      <c r="Q967" s="34"/>
      <c r="R967" s="34"/>
      <c r="S967" s="34"/>
      <c r="T967" s="34"/>
      <c r="U967" s="34"/>
      <c r="V967" s="34"/>
    </row>
    <row r="968" spans="1:22">
      <c r="A968" s="35"/>
      <c r="B968" s="3"/>
      <c r="C968" s="35"/>
      <c r="D968" s="34"/>
      <c r="E968" s="34"/>
      <c r="F968" s="35"/>
      <c r="G968" s="35"/>
      <c r="H968" s="3"/>
      <c r="I968" s="35"/>
      <c r="J968" s="35" t="str">
        <f>IF(OR(TRIM(E968)="", TRIM(H968)=""), "", IFERROR(IF(OR(VLOOKUP(E968&amp;"|"&amp;H968&amp;"", DB!$A:$N, 6, FALSE)="", VLOOKUP(E968&amp;"|"&amp;H968&amp;"", DB!$A:$N, 6, FALSE)="-"), "", VLOOKUP(E968&amp;"|"&amp;H968&amp;"", DB!$A:$N, 6, FALSE)), ""))</f>
        <v/>
      </c>
      <c r="K968" s="35"/>
      <c r="L968" s="35"/>
      <c r="M968" s="35"/>
      <c r="N968" s="35" t="str">
        <f t="shared" si="15"/>
        <v/>
      </c>
      <c r="O968" s="34"/>
      <c r="P968" s="34"/>
      <c r="Q968" s="34"/>
      <c r="R968" s="34"/>
      <c r="S968" s="34"/>
      <c r="T968" s="34"/>
      <c r="U968" s="34"/>
      <c r="V968" s="34"/>
    </row>
    <row r="969" spans="1:22">
      <c r="A969" s="35"/>
      <c r="B969" s="3"/>
      <c r="C969" s="35"/>
      <c r="D969" s="34"/>
      <c r="E969" s="34"/>
      <c r="F969" s="35"/>
      <c r="G969" s="35"/>
      <c r="H969" s="3"/>
      <c r="I969" s="35"/>
      <c r="J969" s="35" t="str">
        <f>IF(OR(TRIM(E969)="", TRIM(H969)=""), "", IFERROR(IF(OR(VLOOKUP(E969&amp;"|"&amp;H969&amp;"", DB!$A:$N, 6, FALSE)="", VLOOKUP(E969&amp;"|"&amp;H969&amp;"", DB!$A:$N, 6, FALSE)="-"), "", VLOOKUP(E969&amp;"|"&amp;H969&amp;"", DB!$A:$N, 6, FALSE)), ""))</f>
        <v/>
      </c>
      <c r="K969" s="35"/>
      <c r="L969" s="35"/>
      <c r="M969" s="35"/>
      <c r="N969" s="35" t="str">
        <f t="shared" si="15"/>
        <v/>
      </c>
      <c r="O969" s="34"/>
      <c r="P969" s="34"/>
      <c r="Q969" s="34"/>
      <c r="R969" s="34"/>
      <c r="S969" s="34"/>
      <c r="T969" s="34"/>
      <c r="U969" s="34"/>
      <c r="V969" s="34"/>
    </row>
    <row r="970" spans="1:22">
      <c r="A970" s="35"/>
      <c r="B970" s="3"/>
      <c r="C970" s="35"/>
      <c r="D970" s="34"/>
      <c r="E970" s="34"/>
      <c r="F970" s="35"/>
      <c r="G970" s="35"/>
      <c r="H970" s="3"/>
      <c r="I970" s="35"/>
      <c r="J970" s="35" t="str">
        <f>IF(OR(TRIM(E970)="", TRIM(H970)=""), "", IFERROR(IF(OR(VLOOKUP(E970&amp;"|"&amp;H970&amp;"", DB!$A:$N, 6, FALSE)="", VLOOKUP(E970&amp;"|"&amp;H970&amp;"", DB!$A:$N, 6, FALSE)="-"), "", VLOOKUP(E970&amp;"|"&amp;H970&amp;"", DB!$A:$N, 6, FALSE)), ""))</f>
        <v/>
      </c>
      <c r="K970" s="35"/>
      <c r="L970" s="35"/>
      <c r="M970" s="35"/>
      <c r="N970" s="35" t="str">
        <f t="shared" si="15"/>
        <v/>
      </c>
      <c r="O970" s="34"/>
      <c r="P970" s="34"/>
      <c r="Q970" s="34"/>
      <c r="R970" s="34"/>
      <c r="S970" s="34"/>
      <c r="T970" s="34"/>
      <c r="U970" s="34"/>
      <c r="V970" s="34"/>
    </row>
    <row r="971" spans="1:22">
      <c r="A971" s="35"/>
      <c r="B971" s="3"/>
      <c r="C971" s="35"/>
      <c r="D971" s="34"/>
      <c r="E971" s="34"/>
      <c r="F971" s="35"/>
      <c r="G971" s="35"/>
      <c r="H971" s="3"/>
      <c r="I971" s="35"/>
      <c r="J971" s="35" t="str">
        <f>IF(OR(TRIM(E971)="", TRIM(H971)=""), "", IFERROR(IF(OR(VLOOKUP(E971&amp;"|"&amp;H971&amp;"", DB!$A:$N, 6, FALSE)="", VLOOKUP(E971&amp;"|"&amp;H971&amp;"", DB!$A:$N, 6, FALSE)="-"), "", VLOOKUP(E971&amp;"|"&amp;H971&amp;"", DB!$A:$N, 6, FALSE)), ""))</f>
        <v/>
      </c>
      <c r="K971" s="35"/>
      <c r="L971" s="35"/>
      <c r="M971" s="35"/>
      <c r="N971" s="35" t="str">
        <f t="shared" si="15"/>
        <v/>
      </c>
      <c r="O971" s="34"/>
      <c r="P971" s="34"/>
      <c r="Q971" s="34"/>
      <c r="R971" s="34"/>
      <c r="S971" s="34"/>
      <c r="T971" s="34"/>
      <c r="U971" s="34"/>
      <c r="V971" s="34"/>
    </row>
    <row r="972" spans="1:22">
      <c r="A972" s="35"/>
      <c r="B972" s="3"/>
      <c r="C972" s="35"/>
      <c r="D972" s="34"/>
      <c r="E972" s="34"/>
      <c r="F972" s="35"/>
      <c r="G972" s="35"/>
      <c r="H972" s="3"/>
      <c r="I972" s="35"/>
      <c r="J972" s="35" t="str">
        <f>IF(OR(TRIM(E972)="", TRIM(H972)=""), "", IFERROR(IF(OR(VLOOKUP(E972&amp;"|"&amp;H972&amp;"", DB!$A:$N, 6, FALSE)="", VLOOKUP(E972&amp;"|"&amp;H972&amp;"", DB!$A:$N, 6, FALSE)="-"), "", VLOOKUP(E972&amp;"|"&amp;H972&amp;"", DB!$A:$N, 6, FALSE)), ""))</f>
        <v/>
      </c>
      <c r="K972" s="35"/>
      <c r="L972" s="35"/>
      <c r="M972" s="35"/>
      <c r="N972" s="35" t="str">
        <f t="shared" si="15"/>
        <v/>
      </c>
      <c r="O972" s="34"/>
      <c r="P972" s="34"/>
      <c r="Q972" s="34"/>
      <c r="R972" s="34"/>
      <c r="S972" s="34"/>
      <c r="T972" s="34"/>
      <c r="U972" s="34"/>
      <c r="V972" s="34"/>
    </row>
    <row r="973" spans="1:22">
      <c r="A973" s="35"/>
      <c r="B973" s="3"/>
      <c r="C973" s="35"/>
      <c r="D973" s="34"/>
      <c r="E973" s="34"/>
      <c r="F973" s="35"/>
      <c r="G973" s="35"/>
      <c r="H973" s="3"/>
      <c r="I973" s="35"/>
      <c r="J973" s="35" t="str">
        <f>IF(OR(TRIM(E973)="", TRIM(H973)=""), "", IFERROR(IF(OR(VLOOKUP(E973&amp;"|"&amp;H973&amp;"", DB!$A:$N, 6, FALSE)="", VLOOKUP(E973&amp;"|"&amp;H973&amp;"", DB!$A:$N, 6, FALSE)="-"), "", VLOOKUP(E973&amp;"|"&amp;H973&amp;"", DB!$A:$N, 6, FALSE)), ""))</f>
        <v/>
      </c>
      <c r="K973" s="35"/>
      <c r="L973" s="35"/>
      <c r="M973" s="35"/>
      <c r="N973" s="35" t="str">
        <f t="shared" si="15"/>
        <v/>
      </c>
      <c r="O973" s="34"/>
      <c r="P973" s="34"/>
      <c r="Q973" s="34"/>
      <c r="R973" s="34"/>
      <c r="S973" s="34"/>
      <c r="T973" s="34"/>
      <c r="U973" s="34"/>
      <c r="V973" s="34"/>
    </row>
    <row r="974" spans="1:22">
      <c r="A974" s="35"/>
      <c r="B974" s="3"/>
      <c r="C974" s="35"/>
      <c r="D974" s="34"/>
      <c r="E974" s="34"/>
      <c r="F974" s="35"/>
      <c r="G974" s="35"/>
      <c r="H974" s="3"/>
      <c r="I974" s="35"/>
      <c r="J974" s="35" t="str">
        <f>IF(OR(TRIM(E974)="", TRIM(H974)=""), "", IFERROR(IF(OR(VLOOKUP(E974&amp;"|"&amp;H974&amp;"", DB!$A:$N, 6, FALSE)="", VLOOKUP(E974&amp;"|"&amp;H974&amp;"", DB!$A:$N, 6, FALSE)="-"), "", VLOOKUP(E974&amp;"|"&amp;H974&amp;"", DB!$A:$N, 6, FALSE)), ""))</f>
        <v/>
      </c>
      <c r="K974" s="35"/>
      <c r="L974" s="35"/>
      <c r="M974" s="35"/>
      <c r="N974" s="35" t="str">
        <f t="shared" si="15"/>
        <v/>
      </c>
      <c r="O974" s="34"/>
      <c r="P974" s="34"/>
      <c r="Q974" s="34"/>
      <c r="R974" s="34"/>
      <c r="S974" s="34"/>
      <c r="T974" s="34"/>
      <c r="U974" s="34"/>
      <c r="V974" s="34"/>
    </row>
    <row r="975" spans="1:22">
      <c r="A975" s="35"/>
      <c r="B975" s="3"/>
      <c r="C975" s="35"/>
      <c r="D975" s="34"/>
      <c r="E975" s="34"/>
      <c r="F975" s="35"/>
      <c r="G975" s="35"/>
      <c r="H975" s="3"/>
      <c r="I975" s="35"/>
      <c r="J975" s="35" t="str">
        <f>IF(OR(TRIM(E975)="", TRIM(H975)=""), "", IFERROR(IF(OR(VLOOKUP(E975&amp;"|"&amp;H975&amp;"", DB!$A:$N, 6, FALSE)="", VLOOKUP(E975&amp;"|"&amp;H975&amp;"", DB!$A:$N, 6, FALSE)="-"), "", VLOOKUP(E975&amp;"|"&amp;H975&amp;"", DB!$A:$N, 6, FALSE)), ""))</f>
        <v/>
      </c>
      <c r="K975" s="35"/>
      <c r="L975" s="35"/>
      <c r="M975" s="35"/>
      <c r="N975" s="35" t="str">
        <f t="shared" si="15"/>
        <v/>
      </c>
      <c r="O975" s="34"/>
      <c r="P975" s="34"/>
      <c r="Q975" s="34"/>
      <c r="R975" s="34"/>
      <c r="S975" s="34"/>
      <c r="T975" s="34"/>
      <c r="U975" s="34"/>
      <c r="V975" s="34"/>
    </row>
    <row r="976" spans="1:22">
      <c r="A976" s="35"/>
      <c r="B976" s="3"/>
      <c r="C976" s="35"/>
      <c r="D976" s="34"/>
      <c r="E976" s="34"/>
      <c r="F976" s="35"/>
      <c r="G976" s="35"/>
      <c r="H976" s="3"/>
      <c r="I976" s="35"/>
      <c r="J976" s="35" t="str">
        <f>IF(OR(TRIM(E976)="", TRIM(H976)=""), "", IFERROR(IF(OR(VLOOKUP(E976&amp;"|"&amp;H976&amp;"", DB!$A:$N, 6, FALSE)="", VLOOKUP(E976&amp;"|"&amp;H976&amp;"", DB!$A:$N, 6, FALSE)="-"), "", VLOOKUP(E976&amp;"|"&amp;H976&amp;"", DB!$A:$N, 6, FALSE)), ""))</f>
        <v/>
      </c>
      <c r="K976" s="35"/>
      <c r="L976" s="35"/>
      <c r="M976" s="35"/>
      <c r="N976" s="35" t="str">
        <f t="shared" si="15"/>
        <v/>
      </c>
      <c r="O976" s="34"/>
      <c r="P976" s="34"/>
      <c r="Q976" s="34"/>
      <c r="R976" s="34"/>
      <c r="S976" s="34"/>
      <c r="T976" s="34"/>
      <c r="U976" s="34"/>
      <c r="V976" s="34"/>
    </row>
    <row r="977" spans="1:22">
      <c r="A977" s="35"/>
      <c r="B977" s="3"/>
      <c r="C977" s="35"/>
      <c r="D977" s="34"/>
      <c r="E977" s="34"/>
      <c r="F977" s="35"/>
      <c r="G977" s="35"/>
      <c r="H977" s="3"/>
      <c r="I977" s="35"/>
      <c r="J977" s="35" t="str">
        <f>IF(OR(TRIM(E977)="", TRIM(H977)=""), "", IFERROR(IF(OR(VLOOKUP(E977&amp;"|"&amp;H977&amp;"", DB!$A:$N, 6, FALSE)="", VLOOKUP(E977&amp;"|"&amp;H977&amp;"", DB!$A:$N, 6, FALSE)="-"), "", VLOOKUP(E977&amp;"|"&amp;H977&amp;"", DB!$A:$N, 6, FALSE)), ""))</f>
        <v/>
      </c>
      <c r="K977" s="35"/>
      <c r="L977" s="35"/>
      <c r="M977" s="35"/>
      <c r="N977" s="35" t="str">
        <f t="shared" si="15"/>
        <v/>
      </c>
      <c r="O977" s="34"/>
      <c r="P977" s="34"/>
      <c r="Q977" s="34"/>
      <c r="R977" s="34"/>
      <c r="S977" s="34"/>
      <c r="T977" s="34"/>
      <c r="U977" s="34"/>
      <c r="V977" s="34"/>
    </row>
    <row r="978" spans="1:22">
      <c r="A978" s="35"/>
      <c r="B978" s="3"/>
      <c r="C978" s="35"/>
      <c r="D978" s="34"/>
      <c r="E978" s="34"/>
      <c r="F978" s="35"/>
      <c r="G978" s="35"/>
      <c r="H978" s="3"/>
      <c r="I978" s="35"/>
      <c r="J978" s="35" t="str">
        <f>IF(OR(TRIM(E978)="", TRIM(H978)=""), "", IFERROR(IF(OR(VLOOKUP(E978&amp;"|"&amp;H978&amp;"", DB!$A:$N, 6, FALSE)="", VLOOKUP(E978&amp;"|"&amp;H978&amp;"", DB!$A:$N, 6, FALSE)="-"), "", VLOOKUP(E978&amp;"|"&amp;H978&amp;"", DB!$A:$N, 6, FALSE)), ""))</f>
        <v/>
      </c>
      <c r="K978" s="35"/>
      <c r="L978" s="35"/>
      <c r="M978" s="35"/>
      <c r="N978" s="35" t="str">
        <f t="shared" si="15"/>
        <v/>
      </c>
      <c r="O978" s="34"/>
      <c r="P978" s="34"/>
      <c r="Q978" s="34"/>
      <c r="R978" s="34"/>
      <c r="S978" s="34"/>
      <c r="T978" s="34"/>
      <c r="U978" s="34"/>
      <c r="V978" s="34"/>
    </row>
    <row r="979" spans="1:22">
      <c r="A979" s="35"/>
      <c r="B979" s="3"/>
      <c r="C979" s="35"/>
      <c r="D979" s="34"/>
      <c r="E979" s="34"/>
      <c r="F979" s="35"/>
      <c r="G979" s="35"/>
      <c r="H979" s="3"/>
      <c r="I979" s="35"/>
      <c r="J979" s="35" t="str">
        <f>IF(OR(TRIM(E979)="", TRIM(H979)=""), "", IFERROR(IF(OR(VLOOKUP(E979&amp;"|"&amp;H979&amp;"", DB!$A:$N, 6, FALSE)="", VLOOKUP(E979&amp;"|"&amp;H979&amp;"", DB!$A:$N, 6, FALSE)="-"), "", VLOOKUP(E979&amp;"|"&amp;H979&amp;"", DB!$A:$N, 6, FALSE)), ""))</f>
        <v/>
      </c>
      <c r="K979" s="35"/>
      <c r="L979" s="35"/>
      <c r="M979" s="35"/>
      <c r="N979" s="35" t="str">
        <f t="shared" si="15"/>
        <v/>
      </c>
      <c r="O979" s="34"/>
      <c r="P979" s="34"/>
      <c r="Q979" s="34"/>
      <c r="R979" s="34"/>
      <c r="S979" s="34"/>
      <c r="T979" s="34"/>
      <c r="U979" s="34"/>
      <c r="V979" s="34"/>
    </row>
    <row r="980" spans="1:22">
      <c r="A980" s="35"/>
      <c r="B980" s="3"/>
      <c r="C980" s="35"/>
      <c r="D980" s="34"/>
      <c r="E980" s="34"/>
      <c r="F980" s="35"/>
      <c r="G980" s="35"/>
      <c r="H980" s="3"/>
      <c r="I980" s="35"/>
      <c r="J980" s="35" t="str">
        <f>IF(OR(TRIM(E980)="", TRIM(H980)=""), "", IFERROR(IF(OR(VLOOKUP(E980&amp;"|"&amp;H980&amp;"", DB!$A:$N, 6, FALSE)="", VLOOKUP(E980&amp;"|"&amp;H980&amp;"", DB!$A:$N, 6, FALSE)="-"), "", VLOOKUP(E980&amp;"|"&amp;H980&amp;"", DB!$A:$N, 6, FALSE)), ""))</f>
        <v/>
      </c>
      <c r="K980" s="35"/>
      <c r="L980" s="35"/>
      <c r="M980" s="35"/>
      <c r="N980" s="35" t="str">
        <f t="shared" si="15"/>
        <v/>
      </c>
      <c r="O980" s="34"/>
      <c r="P980" s="34"/>
      <c r="Q980" s="34"/>
      <c r="R980" s="34"/>
      <c r="S980" s="34"/>
      <c r="T980" s="34"/>
      <c r="U980" s="34"/>
      <c r="V980" s="34"/>
    </row>
    <row r="981" spans="1:22">
      <c r="A981" s="35"/>
      <c r="B981" s="3"/>
      <c r="C981" s="35"/>
      <c r="D981" s="34"/>
      <c r="E981" s="34"/>
      <c r="F981" s="35"/>
      <c r="G981" s="35"/>
      <c r="H981" s="3"/>
      <c r="I981" s="35"/>
      <c r="J981" s="35" t="str">
        <f>IF(OR(TRIM(E981)="", TRIM(H981)=""), "", IFERROR(IF(OR(VLOOKUP(E981&amp;"|"&amp;H981&amp;"", DB!$A:$N, 6, FALSE)="", VLOOKUP(E981&amp;"|"&amp;H981&amp;"", DB!$A:$N, 6, FALSE)="-"), "", VLOOKUP(E981&amp;"|"&amp;H981&amp;"", DB!$A:$N, 6, FALSE)), ""))</f>
        <v/>
      </c>
      <c r="K981" s="35"/>
      <c r="L981" s="35"/>
      <c r="M981" s="35"/>
      <c r="N981" s="35" t="str">
        <f t="shared" si="15"/>
        <v/>
      </c>
      <c r="O981" s="34"/>
      <c r="P981" s="34"/>
      <c r="Q981" s="34"/>
      <c r="R981" s="34"/>
      <c r="S981" s="34"/>
      <c r="T981" s="34"/>
      <c r="U981" s="34"/>
      <c r="V981" s="34"/>
    </row>
    <row r="982" spans="1:22">
      <c r="A982" s="35"/>
      <c r="B982" s="3"/>
      <c r="C982" s="35"/>
      <c r="D982" s="34"/>
      <c r="E982" s="34"/>
      <c r="F982" s="35"/>
      <c r="G982" s="35"/>
      <c r="H982" s="3"/>
      <c r="I982" s="35"/>
      <c r="J982" s="35" t="str">
        <f>IF(OR(TRIM(E982)="", TRIM(H982)=""), "", IFERROR(IF(OR(VLOOKUP(E982&amp;"|"&amp;H982&amp;"", DB!$A:$N, 6, FALSE)="", VLOOKUP(E982&amp;"|"&amp;H982&amp;"", DB!$A:$N, 6, FALSE)="-"), "", VLOOKUP(E982&amp;"|"&amp;H982&amp;"", DB!$A:$N, 6, FALSE)), ""))</f>
        <v/>
      </c>
      <c r="K982" s="35"/>
      <c r="L982" s="35"/>
      <c r="M982" s="35"/>
      <c r="N982" s="35" t="str">
        <f t="shared" si="15"/>
        <v/>
      </c>
      <c r="O982" s="34"/>
      <c r="P982" s="34"/>
      <c r="Q982" s="34"/>
      <c r="R982" s="34"/>
      <c r="S982" s="34"/>
      <c r="T982" s="34"/>
      <c r="U982" s="34"/>
      <c r="V982" s="34"/>
    </row>
    <row r="983" spans="1:22">
      <c r="A983" s="35"/>
      <c r="B983" s="3"/>
      <c r="C983" s="35"/>
      <c r="D983" s="34"/>
      <c r="E983" s="34"/>
      <c r="F983" s="35"/>
      <c r="G983" s="35"/>
      <c r="H983" s="3"/>
      <c r="I983" s="35"/>
      <c r="J983" s="35" t="str">
        <f>IF(OR(TRIM(E983)="", TRIM(H983)=""), "", IFERROR(IF(OR(VLOOKUP(E983&amp;"|"&amp;H983&amp;"", DB!$A:$N, 6, FALSE)="", VLOOKUP(E983&amp;"|"&amp;H983&amp;"", DB!$A:$N, 6, FALSE)="-"), "", VLOOKUP(E983&amp;"|"&amp;H983&amp;"", DB!$A:$N, 6, FALSE)), ""))</f>
        <v/>
      </c>
      <c r="K983" s="35"/>
      <c r="L983" s="35"/>
      <c r="M983" s="35"/>
      <c r="N983" s="35" t="str">
        <f t="shared" si="15"/>
        <v/>
      </c>
      <c r="O983" s="34"/>
      <c r="P983" s="34"/>
      <c r="Q983" s="34"/>
      <c r="R983" s="34"/>
      <c r="S983" s="34"/>
      <c r="T983" s="34"/>
      <c r="U983" s="34"/>
      <c r="V983" s="34"/>
    </row>
    <row r="984" spans="1:22">
      <c r="A984" s="35"/>
      <c r="B984" s="3"/>
      <c r="C984" s="35"/>
      <c r="D984" s="34"/>
      <c r="E984" s="34"/>
      <c r="F984" s="35"/>
      <c r="G984" s="35"/>
      <c r="H984" s="3"/>
      <c r="I984" s="35"/>
      <c r="J984" s="35" t="str">
        <f>IF(OR(TRIM(E984)="", TRIM(H984)=""), "", IFERROR(IF(OR(VLOOKUP(E984&amp;"|"&amp;H984&amp;"", DB!$A:$N, 6, FALSE)="", VLOOKUP(E984&amp;"|"&amp;H984&amp;"", DB!$A:$N, 6, FALSE)="-"), "", VLOOKUP(E984&amp;"|"&amp;H984&amp;"", DB!$A:$N, 6, FALSE)), ""))</f>
        <v/>
      </c>
      <c r="K984" s="35"/>
      <c r="L984" s="35"/>
      <c r="M984" s="35"/>
      <c r="N984" s="35" t="str">
        <f t="shared" si="15"/>
        <v/>
      </c>
      <c r="O984" s="34"/>
      <c r="P984" s="34"/>
      <c r="Q984" s="34"/>
      <c r="R984" s="34"/>
      <c r="S984" s="34"/>
      <c r="T984" s="34"/>
      <c r="U984" s="34"/>
      <c r="V984" s="34"/>
    </row>
    <row r="985" spans="1:22">
      <c r="A985" s="35"/>
      <c r="B985" s="3"/>
      <c r="C985" s="35"/>
      <c r="D985" s="34"/>
      <c r="E985" s="34"/>
      <c r="F985" s="35"/>
      <c r="G985" s="35"/>
      <c r="H985" s="3"/>
      <c r="I985" s="35"/>
      <c r="J985" s="35" t="str">
        <f>IF(OR(TRIM(E985)="", TRIM(H985)=""), "", IFERROR(IF(OR(VLOOKUP(E985&amp;"|"&amp;H985&amp;"", DB!$A:$N, 6, FALSE)="", VLOOKUP(E985&amp;"|"&amp;H985&amp;"", DB!$A:$N, 6, FALSE)="-"), "", VLOOKUP(E985&amp;"|"&amp;H985&amp;"", DB!$A:$N, 6, FALSE)), ""))</f>
        <v/>
      </c>
      <c r="K985" s="35"/>
      <c r="L985" s="35"/>
      <c r="M985" s="35"/>
      <c r="N985" s="35" t="str">
        <f t="shared" si="15"/>
        <v/>
      </c>
      <c r="O985" s="34"/>
      <c r="P985" s="34"/>
      <c r="Q985" s="34"/>
      <c r="R985" s="34"/>
      <c r="S985" s="34"/>
      <c r="T985" s="34"/>
      <c r="U985" s="34"/>
      <c r="V985" s="34"/>
    </row>
    <row r="986" spans="1:22">
      <c r="A986" s="35"/>
      <c r="B986" s="3"/>
      <c r="C986" s="35"/>
      <c r="D986" s="34"/>
      <c r="E986" s="34"/>
      <c r="F986" s="35"/>
      <c r="G986" s="35"/>
      <c r="H986" s="3"/>
      <c r="I986" s="35"/>
      <c r="J986" s="35" t="str">
        <f>IF(OR(TRIM(E986)="", TRIM(H986)=""), "", IFERROR(IF(OR(VLOOKUP(E986&amp;"|"&amp;H986&amp;"", DB!$A:$N, 6, FALSE)="", VLOOKUP(E986&amp;"|"&amp;H986&amp;"", DB!$A:$N, 6, FALSE)="-"), "", VLOOKUP(E986&amp;"|"&amp;H986&amp;"", DB!$A:$N, 6, FALSE)), ""))</f>
        <v/>
      </c>
      <c r="K986" s="35"/>
      <c r="L986" s="35"/>
      <c r="M986" s="35"/>
      <c r="N986" s="35" t="str">
        <f t="shared" si="15"/>
        <v/>
      </c>
      <c r="O986" s="34"/>
      <c r="P986" s="34"/>
      <c r="Q986" s="34"/>
      <c r="R986" s="34"/>
      <c r="S986" s="34"/>
      <c r="T986" s="34"/>
      <c r="U986" s="34"/>
      <c r="V986" s="34"/>
    </row>
    <row r="987" spans="1:22">
      <c r="A987" s="35"/>
      <c r="B987" s="3"/>
      <c r="C987" s="35"/>
      <c r="D987" s="34"/>
      <c r="E987" s="34"/>
      <c r="F987" s="35"/>
      <c r="G987" s="35"/>
      <c r="H987" s="3"/>
      <c r="I987" s="35"/>
      <c r="J987" s="35" t="str">
        <f>IF(OR(TRIM(E987)="", TRIM(H987)=""), "", IFERROR(IF(OR(VLOOKUP(E987&amp;"|"&amp;H987&amp;"", DB!$A:$N, 6, FALSE)="", VLOOKUP(E987&amp;"|"&amp;H987&amp;"", DB!$A:$N, 6, FALSE)="-"), "", VLOOKUP(E987&amp;"|"&amp;H987&amp;"", DB!$A:$N, 6, FALSE)), ""))</f>
        <v/>
      </c>
      <c r="K987" s="35"/>
      <c r="L987" s="35"/>
      <c r="M987" s="35"/>
      <c r="N987" s="35" t="str">
        <f t="shared" si="15"/>
        <v/>
      </c>
      <c r="O987" s="34"/>
      <c r="P987" s="34"/>
      <c r="Q987" s="34"/>
      <c r="R987" s="34"/>
      <c r="S987" s="34"/>
      <c r="T987" s="34"/>
      <c r="U987" s="34"/>
      <c r="V987" s="34"/>
    </row>
    <row r="988" spans="1:22">
      <c r="A988" s="35"/>
      <c r="B988" s="3"/>
      <c r="C988" s="35"/>
      <c r="D988" s="34"/>
      <c r="E988" s="34"/>
      <c r="F988" s="35"/>
      <c r="G988" s="35"/>
      <c r="H988" s="3"/>
      <c r="I988" s="35"/>
      <c r="J988" s="35" t="str">
        <f>IF(OR(TRIM(E988)="", TRIM(H988)=""), "", IFERROR(IF(OR(VLOOKUP(E988&amp;"|"&amp;H988&amp;"", DB!$A:$N, 6, FALSE)="", VLOOKUP(E988&amp;"|"&amp;H988&amp;"", DB!$A:$N, 6, FALSE)="-"), "", VLOOKUP(E988&amp;"|"&amp;H988&amp;"", DB!$A:$N, 6, FALSE)), ""))</f>
        <v/>
      </c>
      <c r="K988" s="35"/>
      <c r="L988" s="35"/>
      <c r="M988" s="35"/>
      <c r="N988" s="35" t="str">
        <f t="shared" si="15"/>
        <v/>
      </c>
      <c r="O988" s="34"/>
      <c r="P988" s="34"/>
      <c r="Q988" s="34"/>
      <c r="R988" s="34"/>
      <c r="S988" s="34"/>
      <c r="T988" s="34"/>
      <c r="U988" s="34"/>
      <c r="V988" s="34"/>
    </row>
    <row r="989" spans="1:22">
      <c r="A989" s="35"/>
      <c r="B989" s="3"/>
      <c r="C989" s="35"/>
      <c r="D989" s="34"/>
      <c r="E989" s="34"/>
      <c r="F989" s="35"/>
      <c r="G989" s="35"/>
      <c r="H989" s="3"/>
      <c r="I989" s="35"/>
      <c r="J989" s="35" t="str">
        <f>IF(OR(TRIM(E989)="", TRIM(H989)=""), "", IFERROR(IF(OR(VLOOKUP(E989&amp;"|"&amp;H989&amp;"", DB!$A:$N, 6, FALSE)="", VLOOKUP(E989&amp;"|"&amp;H989&amp;"", DB!$A:$N, 6, FALSE)="-"), "", VLOOKUP(E989&amp;"|"&amp;H989&amp;"", DB!$A:$N, 6, FALSE)), ""))</f>
        <v/>
      </c>
      <c r="K989" s="35"/>
      <c r="L989" s="35"/>
      <c r="M989" s="35"/>
      <c r="N989" s="35" t="str">
        <f t="shared" si="15"/>
        <v/>
      </c>
      <c r="O989" s="34"/>
      <c r="P989" s="34"/>
      <c r="Q989" s="34"/>
      <c r="R989" s="34"/>
      <c r="S989" s="34"/>
      <c r="T989" s="34"/>
      <c r="U989" s="34"/>
      <c r="V989" s="34"/>
    </row>
    <row r="990" spans="1:22">
      <c r="A990" s="35"/>
      <c r="B990" s="3"/>
      <c r="C990" s="35"/>
      <c r="D990" s="34"/>
      <c r="E990" s="34"/>
      <c r="F990" s="35"/>
      <c r="G990" s="35"/>
      <c r="H990" s="3"/>
      <c r="I990" s="35"/>
      <c r="J990" s="35" t="str">
        <f>IF(OR(TRIM(E990)="", TRIM(H990)=""), "", IFERROR(IF(OR(VLOOKUP(E990&amp;"|"&amp;H990&amp;"", DB!$A:$N, 6, FALSE)="", VLOOKUP(E990&amp;"|"&amp;H990&amp;"", DB!$A:$N, 6, FALSE)="-"), "", VLOOKUP(E990&amp;"|"&amp;H990&amp;"", DB!$A:$N, 6, FALSE)), ""))</f>
        <v/>
      </c>
      <c r="K990" s="35"/>
      <c r="L990" s="35"/>
      <c r="M990" s="35"/>
      <c r="N990" s="35" t="str">
        <f t="shared" si="15"/>
        <v/>
      </c>
      <c r="O990" s="34"/>
      <c r="P990" s="34"/>
      <c r="Q990" s="34"/>
      <c r="R990" s="34"/>
      <c r="S990" s="34"/>
      <c r="T990" s="34"/>
      <c r="U990" s="34"/>
      <c r="V990" s="34"/>
    </row>
    <row r="991" spans="1:22">
      <c r="A991" s="35"/>
      <c r="B991" s="3"/>
      <c r="C991" s="35"/>
      <c r="D991" s="34"/>
      <c r="E991" s="34"/>
      <c r="F991" s="35"/>
      <c r="G991" s="35"/>
      <c r="H991" s="3"/>
      <c r="I991" s="35"/>
      <c r="J991" s="35" t="str">
        <f>IF(OR(TRIM(E991)="", TRIM(H991)=""), "", IFERROR(IF(OR(VLOOKUP(E991&amp;"|"&amp;H991&amp;"", DB!$A:$N, 6, FALSE)="", VLOOKUP(E991&amp;"|"&amp;H991&amp;"", DB!$A:$N, 6, FALSE)="-"), "", VLOOKUP(E991&amp;"|"&amp;H991&amp;"", DB!$A:$N, 6, FALSE)), ""))</f>
        <v/>
      </c>
      <c r="K991" s="35"/>
      <c r="L991" s="35"/>
      <c r="M991" s="35"/>
      <c r="N991" s="35" t="str">
        <f t="shared" si="15"/>
        <v/>
      </c>
      <c r="O991" s="34"/>
      <c r="P991" s="34"/>
      <c r="Q991" s="34"/>
      <c r="R991" s="34"/>
      <c r="S991" s="34"/>
      <c r="T991" s="34"/>
      <c r="U991" s="34"/>
      <c r="V991" s="34"/>
    </row>
    <row r="992" spans="1:22">
      <c r="A992" s="35"/>
      <c r="B992" s="3"/>
      <c r="C992" s="35"/>
      <c r="D992" s="34"/>
      <c r="E992" s="34"/>
      <c r="F992" s="35"/>
      <c r="G992" s="35"/>
      <c r="H992" s="3"/>
      <c r="I992" s="35"/>
      <c r="J992" s="35" t="str">
        <f>IF(OR(TRIM(E992)="", TRIM(H992)=""), "", IFERROR(IF(OR(VLOOKUP(E992&amp;"|"&amp;H992&amp;"", DB!$A:$N, 6, FALSE)="", VLOOKUP(E992&amp;"|"&amp;H992&amp;"", DB!$A:$N, 6, FALSE)="-"), "", VLOOKUP(E992&amp;"|"&amp;H992&amp;"", DB!$A:$N, 6, FALSE)), ""))</f>
        <v/>
      </c>
      <c r="K992" s="35"/>
      <c r="L992" s="35"/>
      <c r="M992" s="35"/>
      <c r="N992" s="35" t="str">
        <f t="shared" si="15"/>
        <v/>
      </c>
      <c r="O992" s="34"/>
      <c r="P992" s="34"/>
      <c r="Q992" s="34"/>
      <c r="R992" s="34"/>
      <c r="S992" s="34"/>
      <c r="T992" s="34"/>
      <c r="U992" s="34"/>
      <c r="V992" s="34"/>
    </row>
    <row r="993" spans="1:22">
      <c r="A993" s="35"/>
      <c r="B993" s="3"/>
      <c r="C993" s="35"/>
      <c r="D993" s="34"/>
      <c r="E993" s="34"/>
      <c r="F993" s="35"/>
      <c r="G993" s="35"/>
      <c r="H993" s="3"/>
      <c r="I993" s="35"/>
      <c r="J993" s="35" t="str">
        <f>IF(OR(TRIM(E993)="", TRIM(H993)=""), "", IFERROR(IF(OR(VLOOKUP(E993&amp;"|"&amp;H993&amp;"", DB!$A:$N, 6, FALSE)="", VLOOKUP(E993&amp;"|"&amp;H993&amp;"", DB!$A:$N, 6, FALSE)="-"), "", VLOOKUP(E993&amp;"|"&amp;H993&amp;"", DB!$A:$N, 6, FALSE)), ""))</f>
        <v/>
      </c>
      <c r="K993" s="35"/>
      <c r="L993" s="35"/>
      <c r="M993" s="35"/>
      <c r="N993" s="35" t="str">
        <f t="shared" si="15"/>
        <v/>
      </c>
      <c r="O993" s="34"/>
      <c r="P993" s="34"/>
      <c r="Q993" s="34"/>
      <c r="R993" s="34"/>
      <c r="S993" s="34"/>
      <c r="T993" s="34"/>
      <c r="U993" s="34"/>
      <c r="V993" s="34"/>
    </row>
    <row r="994" spans="1:22">
      <c r="A994" s="35"/>
      <c r="B994" s="3"/>
      <c r="C994" s="35"/>
      <c r="D994" s="34"/>
      <c r="E994" s="34"/>
      <c r="F994" s="35"/>
      <c r="G994" s="35"/>
      <c r="H994" s="3"/>
      <c r="I994" s="35"/>
      <c r="J994" s="35" t="str">
        <f>IF(OR(TRIM(E994)="", TRIM(H994)=""), "", IFERROR(IF(OR(VLOOKUP(E994&amp;"|"&amp;H994&amp;"", DB!$A:$N, 6, FALSE)="", VLOOKUP(E994&amp;"|"&amp;H994&amp;"", DB!$A:$N, 6, FALSE)="-"), "", VLOOKUP(E994&amp;"|"&amp;H994&amp;"", DB!$A:$N, 6, FALSE)), ""))</f>
        <v/>
      </c>
      <c r="K994" s="35"/>
      <c r="L994" s="35"/>
      <c r="M994" s="35"/>
      <c r="N994" s="35" t="str">
        <f t="shared" si="15"/>
        <v/>
      </c>
      <c r="O994" s="34"/>
      <c r="P994" s="34"/>
      <c r="Q994" s="34"/>
      <c r="R994" s="34"/>
      <c r="S994" s="34"/>
      <c r="T994" s="34"/>
      <c r="U994" s="34"/>
      <c r="V994" s="34"/>
    </row>
    <row r="995" spans="1:22">
      <c r="A995" s="35"/>
      <c r="B995" s="3"/>
      <c r="C995" s="35"/>
      <c r="D995" s="34"/>
      <c r="E995" s="34"/>
      <c r="F995" s="35"/>
      <c r="G995" s="35"/>
      <c r="H995" s="3"/>
      <c r="I995" s="35"/>
      <c r="J995" s="35" t="str">
        <f>IF(OR(TRIM(E995)="", TRIM(H995)=""), "", IFERROR(IF(OR(VLOOKUP(E995&amp;"|"&amp;H995&amp;"", DB!$A:$N, 6, FALSE)="", VLOOKUP(E995&amp;"|"&amp;H995&amp;"", DB!$A:$N, 6, FALSE)="-"), "", VLOOKUP(E995&amp;"|"&amp;H995&amp;"", DB!$A:$N, 6, FALSE)), ""))</f>
        <v/>
      </c>
      <c r="K995" s="35"/>
      <c r="L995" s="35"/>
      <c r="M995" s="35"/>
      <c r="N995" s="35" t="str">
        <f t="shared" si="15"/>
        <v/>
      </c>
      <c r="O995" s="34"/>
      <c r="P995" s="34"/>
      <c r="Q995" s="34"/>
      <c r="R995" s="34"/>
      <c r="S995" s="34"/>
      <c r="T995" s="34"/>
      <c r="U995" s="34"/>
      <c r="V995" s="34"/>
    </row>
    <row r="996" spans="1:22">
      <c r="A996" s="35"/>
      <c r="B996" s="3"/>
      <c r="C996" s="35"/>
      <c r="D996" s="34"/>
      <c r="E996" s="34"/>
      <c r="F996" s="35"/>
      <c r="G996" s="35"/>
      <c r="H996" s="3"/>
      <c r="I996" s="35"/>
      <c r="J996" s="35" t="str">
        <f>IF(OR(TRIM(E996)="", TRIM(H996)=""), "", IFERROR(IF(OR(VLOOKUP(E996&amp;"|"&amp;H996&amp;"", DB!$A:$N, 6, FALSE)="", VLOOKUP(E996&amp;"|"&amp;H996&amp;"", DB!$A:$N, 6, FALSE)="-"), "", VLOOKUP(E996&amp;"|"&amp;H996&amp;"", DB!$A:$N, 6, FALSE)), ""))</f>
        <v/>
      </c>
      <c r="K996" s="35"/>
      <c r="L996" s="35"/>
      <c r="M996" s="35"/>
      <c r="N996" s="35" t="str">
        <f t="shared" si="15"/>
        <v/>
      </c>
      <c r="O996" s="34"/>
      <c r="P996" s="34"/>
      <c r="Q996" s="34"/>
      <c r="R996" s="34"/>
      <c r="S996" s="34"/>
      <c r="T996" s="34"/>
      <c r="U996" s="34"/>
      <c r="V996" s="34"/>
    </row>
    <row r="997" spans="1:22">
      <c r="A997" s="35"/>
      <c r="B997" s="3"/>
      <c r="C997" s="35"/>
      <c r="D997" s="34"/>
      <c r="E997" s="34"/>
      <c r="F997" s="35"/>
      <c r="G997" s="35"/>
      <c r="H997" s="3"/>
      <c r="I997" s="35"/>
      <c r="J997" s="35" t="str">
        <f>IF(OR(TRIM(E997)="", TRIM(H997)=""), "", IFERROR(IF(OR(VLOOKUP(E997&amp;"|"&amp;H997&amp;"", DB!$A:$N, 6, FALSE)="", VLOOKUP(E997&amp;"|"&amp;H997&amp;"", DB!$A:$N, 6, FALSE)="-"), "", VLOOKUP(E997&amp;"|"&amp;H997&amp;"", DB!$A:$N, 6, FALSE)), ""))</f>
        <v/>
      </c>
      <c r="K997" s="35"/>
      <c r="L997" s="35"/>
      <c r="M997" s="35"/>
      <c r="N997" s="35" t="str">
        <f t="shared" si="15"/>
        <v/>
      </c>
      <c r="O997" s="34"/>
      <c r="P997" s="34"/>
      <c r="Q997" s="34"/>
      <c r="R997" s="34"/>
      <c r="S997" s="34"/>
      <c r="T997" s="34"/>
      <c r="U997" s="34"/>
      <c r="V997" s="34"/>
    </row>
    <row r="998" spans="1:22">
      <c r="A998" s="35"/>
      <c r="B998" s="3"/>
      <c r="C998" s="35"/>
      <c r="D998" s="34"/>
      <c r="E998" s="34"/>
      <c r="F998" s="35"/>
      <c r="G998" s="35"/>
      <c r="H998" s="3"/>
      <c r="I998" s="35"/>
      <c r="J998" s="35" t="str">
        <f>IF(OR(TRIM(E998)="", TRIM(H998)=""), "", IFERROR(IF(OR(VLOOKUP(E998&amp;"|"&amp;H998&amp;"", DB!$A:$N, 6, FALSE)="", VLOOKUP(E998&amp;"|"&amp;H998&amp;"", DB!$A:$N, 6, FALSE)="-"), "", VLOOKUP(E998&amp;"|"&amp;H998&amp;"", DB!$A:$N, 6, FALSE)), ""))</f>
        <v/>
      </c>
      <c r="K998" s="35"/>
      <c r="L998" s="35"/>
      <c r="M998" s="35"/>
      <c r="N998" s="35" t="str">
        <f t="shared" si="15"/>
        <v/>
      </c>
      <c r="O998" s="34"/>
      <c r="P998" s="34"/>
      <c r="Q998" s="34"/>
      <c r="R998" s="34"/>
      <c r="S998" s="34"/>
      <c r="T998" s="34"/>
      <c r="U998" s="34"/>
      <c r="V998" s="34"/>
    </row>
    <row r="999" spans="1:22">
      <c r="A999" s="35"/>
      <c r="B999" s="3"/>
      <c r="C999" s="35"/>
      <c r="D999" s="34"/>
      <c r="E999" s="34"/>
      <c r="F999" s="35"/>
      <c r="G999" s="35"/>
      <c r="H999" s="3"/>
      <c r="I999" s="35"/>
      <c r="J999" s="35" t="str">
        <f>IF(OR(TRIM(E999)="", TRIM(H999)=""), "", IFERROR(IF(OR(VLOOKUP(E999&amp;"|"&amp;H999&amp;"", DB!$A:$N, 6, FALSE)="", VLOOKUP(E999&amp;"|"&amp;H999&amp;"", DB!$A:$N, 6, FALSE)="-"), "", VLOOKUP(E999&amp;"|"&amp;H999&amp;"", DB!$A:$N, 6, FALSE)), ""))</f>
        <v/>
      </c>
      <c r="K999" s="35"/>
      <c r="L999" s="35"/>
      <c r="M999" s="35"/>
      <c r="N999" s="35" t="str">
        <f t="shared" si="15"/>
        <v/>
      </c>
      <c r="O999" s="34"/>
      <c r="P999" s="34"/>
      <c r="Q999" s="34"/>
      <c r="R999" s="34"/>
      <c r="S999" s="34"/>
      <c r="T999" s="34"/>
      <c r="U999" s="34"/>
      <c r="V999" s="34"/>
    </row>
    <row r="1000" spans="1:22">
      <c r="A1000" s="35"/>
      <c r="B1000" s="3"/>
      <c r="C1000" s="35"/>
      <c r="D1000" s="34"/>
      <c r="E1000" s="34"/>
      <c r="F1000" s="35"/>
      <c r="G1000" s="35"/>
      <c r="H1000" s="3"/>
      <c r="I1000" s="35"/>
      <c r="J1000" s="35"/>
      <c r="K1000" s="35"/>
      <c r="L1000" s="35"/>
      <c r="M1000" s="35"/>
      <c r="N1000" s="35" t="str">
        <f t="shared" si="15"/>
        <v/>
      </c>
      <c r="O1000" s="34"/>
      <c r="P1000" s="34"/>
      <c r="Q1000" s="34"/>
      <c r="R1000" s="34"/>
      <c r="S1000" s="34"/>
      <c r="T1000" s="34"/>
      <c r="U1000" s="34"/>
      <c r="V1000" s="34"/>
    </row>
  </sheetData>
  <autoFilter ref="A1:O999">
    <sortState ref="A2:O1000">
      <sortCondition ref="D1"/>
    </sortState>
  </autoFilter>
  <phoneticPr fontId="1" type="noConversion"/>
  <conditionalFormatting sqref="G2:G20000">
    <cfRule type="expression" dxfId="9" priority="1" stopIfTrue="1">
      <formula>AND(OR(TRIM(G2)="", TRIM(G2)="-"), TRIM(D2)&lt;&gt;"")</formula>
    </cfRule>
  </conditionalFormatting>
  <conditionalFormatting sqref="H2:H20000">
    <cfRule type="expression" dxfId="8" priority="2" stopIfTrue="1">
      <formula>AND(OR(TRIM(H2)="", TRIM(H2)="-"), TRIM(D2)&lt;&gt;"")</formula>
    </cfRule>
  </conditionalFormatting>
  <conditionalFormatting sqref="I2:I20000">
    <cfRule type="expression" dxfId="7" priority="3" stopIfTrue="1">
      <formula>AND(OR(TRIM(I2)="", TRIM(I2)="-"), TRIM(D2)&lt;&gt;"")</formula>
    </cfRule>
  </conditionalFormatting>
  <conditionalFormatting sqref="J2:J20000">
    <cfRule type="expression" dxfId="6" priority="4" stopIfTrue="1">
      <formula>AND(OR(TRIM(J2)="", TRIM(J2)="-"), TRIM(D2)&lt;&gt;"")</formula>
    </cfRule>
  </conditionalFormatting>
  <conditionalFormatting sqref="K2:K20000">
    <cfRule type="expression" dxfId="5" priority="5" stopIfTrue="1">
      <formula>AND(OR(TRIM(K2)="", TRIM(K2)="-"), TRIM(D2)&lt;&gt;"")</formula>
    </cfRule>
  </conditionalFormatting>
  <conditionalFormatting sqref="A2:M20000 O2:V20000">
    <cfRule type="cellIs" dxfId="4" priority="6" stopIfTrue="1" operator="equal">
      <formula>"Search Failed"</formula>
    </cfRule>
    <cfRule type="cellIs" dxfId="3" priority="7" stopIfTrue="1" operator="equal">
      <formula>"Product Not Found"</formula>
    </cfRule>
    <cfRule type="cellIs" dxfId="2" priority="8" stopIfTrue="1" operator="equal">
      <formula>"Manual Input Required"</formula>
    </cfRule>
    <cfRule type="cellIs" dxfId="1" priority="9" stopIfTrue="1" operator="equal">
      <formula>"Manual Entry Required"</formula>
    </cfRule>
  </conditionalFormatting>
  <conditionalFormatting sqref="N2:N20000">
    <cfRule type="cellIs" dxfId="0" priority="10" stopIfTrue="1" operator="equal">
      <formula>"X"</formula>
    </cfRule>
  </conditionalFormatting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index!$A$2:$A$4</xm:f>
          </x14:formula1>
          <xm:sqref>I2:I20000</xm:sqref>
        </x14:dataValidation>
        <x14:dataValidation type="list" allowBlank="1" showInputMessage="1" showErrorMessage="1">
          <x14:formula1>
            <xm:f>index!$C$2:$C$5</xm:f>
          </x14:formula1>
          <xm:sqref>J2:J20000</xm:sqref>
        </x14:dataValidation>
        <x14:dataValidation type="list" allowBlank="1" showInputMessage="1" showErrorMessage="1">
          <x14:formula1>
            <xm:f>IF(COUNTIF(index!$H:$H, I2&amp;"_"&amp;J2)=0, index!$G$100, OFFSET(index!$G$1, MATCH(I2&amp;"_"&amp;J2, index!$H:$H, 0)-1, 0, COUNTIF(index!$H:$H, I2&amp;"_"&amp;J2), 1))</xm:f>
          </x14:formula1>
          <xm:sqref>K2:K20000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0"/>
  <sheetViews>
    <sheetView workbookViewId="0">
      <selection activeCell="H27" sqref="H27:H28"/>
    </sheetView>
  </sheetViews>
  <sheetFormatPr defaultRowHeight="16.5"/>
  <cols>
    <col min="1" max="1" width="9.875" style="8" bestFit="1" customWidth="1"/>
    <col min="3" max="3" width="17.875" style="8" bestFit="1" customWidth="1"/>
    <col min="6" max="6" width="14.125" style="8" bestFit="1" customWidth="1"/>
  </cols>
  <sheetData>
    <row r="1" spans="1:8">
      <c r="A1" s="2" t="s">
        <v>154</v>
      </c>
      <c r="B1" s="1"/>
      <c r="C1" s="2" t="s">
        <v>155</v>
      </c>
      <c r="D1" s="1"/>
      <c r="E1" s="2" t="s">
        <v>8</v>
      </c>
      <c r="F1" s="2" t="s">
        <v>9</v>
      </c>
      <c r="G1" s="2" t="s">
        <v>10</v>
      </c>
    </row>
    <row r="2" spans="1:8">
      <c r="A2" s="1">
        <v>309</v>
      </c>
      <c r="B2" s="1"/>
      <c r="C2" s="1" t="s">
        <v>50</v>
      </c>
      <c r="D2" s="1"/>
      <c r="E2" s="1">
        <v>1001</v>
      </c>
      <c r="F2" s="1" t="s">
        <v>55</v>
      </c>
      <c r="G2" s="1" t="s">
        <v>51</v>
      </c>
      <c r="H2" s="19" t="str">
        <f t="shared" ref="H2:H49" si="0">IF(E2&amp;F2="","",E2&amp;"_"&amp;F2)</f>
        <v>1001_DF</v>
      </c>
    </row>
    <row r="3" spans="1:8">
      <c r="A3" s="1">
        <v>1018</v>
      </c>
      <c r="B3" s="1"/>
      <c r="C3" s="1" t="s">
        <v>57</v>
      </c>
      <c r="D3" s="1"/>
      <c r="E3" s="1">
        <v>1001</v>
      </c>
      <c r="F3" s="1" t="s">
        <v>65</v>
      </c>
      <c r="G3" s="1" t="s">
        <v>28</v>
      </c>
      <c r="H3" s="19" t="str">
        <f t="shared" si="0"/>
        <v>1001_F</v>
      </c>
    </row>
    <row r="4" spans="1:8">
      <c r="A4" s="1">
        <v>1001</v>
      </c>
      <c r="B4" s="1"/>
      <c r="C4" s="1" t="s">
        <v>65</v>
      </c>
      <c r="D4" s="1"/>
      <c r="E4" s="1">
        <v>1001</v>
      </c>
      <c r="F4" s="1" t="s">
        <v>57</v>
      </c>
      <c r="G4" s="1" t="s">
        <v>25</v>
      </c>
      <c r="H4" s="19" t="str">
        <f t="shared" si="0"/>
        <v>1001_R</v>
      </c>
    </row>
    <row r="5" spans="1:8">
      <c r="A5" s="1"/>
      <c r="B5" s="1"/>
      <c r="C5" s="1" t="s">
        <v>55</v>
      </c>
      <c r="D5" s="1"/>
      <c r="E5" s="1">
        <v>1001</v>
      </c>
      <c r="F5" s="1" t="s">
        <v>50</v>
      </c>
      <c r="G5" s="1" t="s">
        <v>37</v>
      </c>
      <c r="H5" s="19" t="str">
        <f t="shared" si="0"/>
        <v>1001_RT</v>
      </c>
    </row>
    <row r="6" spans="1:8">
      <c r="A6" s="1"/>
      <c r="B6" s="1"/>
      <c r="D6" s="1"/>
      <c r="E6" s="1">
        <v>1018</v>
      </c>
      <c r="F6" s="1" t="s">
        <v>55</v>
      </c>
      <c r="G6" s="1" t="s">
        <v>51</v>
      </c>
      <c r="H6" s="19" t="str">
        <f t="shared" si="0"/>
        <v>1018_DF</v>
      </c>
    </row>
    <row r="7" spans="1:8">
      <c r="A7" s="1"/>
      <c r="B7" s="1"/>
      <c r="D7" s="1"/>
      <c r="E7" s="1">
        <v>1018</v>
      </c>
      <c r="F7" s="1" t="s">
        <v>55</v>
      </c>
      <c r="G7" s="1" t="s">
        <v>156</v>
      </c>
      <c r="H7" s="19" t="str">
        <f t="shared" si="0"/>
        <v>1018_DF</v>
      </c>
    </row>
    <row r="8" spans="1:8">
      <c r="A8" s="1"/>
      <c r="B8" s="1"/>
      <c r="C8" s="1"/>
      <c r="D8" s="1"/>
      <c r="E8" s="1">
        <v>1018</v>
      </c>
      <c r="F8" s="1" t="s">
        <v>55</v>
      </c>
      <c r="G8" s="1" t="s">
        <v>44</v>
      </c>
      <c r="H8" s="19" t="str">
        <f t="shared" si="0"/>
        <v>1018_DF</v>
      </c>
    </row>
    <row r="9" spans="1:8">
      <c r="A9" s="1"/>
      <c r="B9" s="1"/>
      <c r="C9" s="1"/>
      <c r="D9" s="1"/>
      <c r="E9" s="1">
        <v>1018</v>
      </c>
      <c r="F9" s="1" t="s">
        <v>65</v>
      </c>
      <c r="G9" s="1" t="s">
        <v>28</v>
      </c>
      <c r="H9" s="19" t="str">
        <f t="shared" si="0"/>
        <v>1018_F</v>
      </c>
    </row>
    <row r="10" spans="1:8">
      <c r="A10" s="1"/>
      <c r="B10" s="1"/>
      <c r="C10" s="1"/>
      <c r="D10" s="1"/>
      <c r="E10" s="1">
        <v>1018</v>
      </c>
      <c r="F10" s="1" t="s">
        <v>57</v>
      </c>
      <c r="G10" s="1" t="s">
        <v>25</v>
      </c>
      <c r="H10" s="19" t="str">
        <f t="shared" si="0"/>
        <v>1018_R</v>
      </c>
    </row>
    <row r="11" spans="1:8">
      <c r="A11" s="1"/>
      <c r="B11" s="1"/>
      <c r="C11" s="1"/>
      <c r="D11" s="1"/>
      <c r="E11" s="1">
        <v>1018</v>
      </c>
      <c r="F11" s="1" t="s">
        <v>50</v>
      </c>
      <c r="G11" s="1" t="s">
        <v>33</v>
      </c>
      <c r="H11" s="19" t="str">
        <f t="shared" si="0"/>
        <v>1018_RT</v>
      </c>
    </row>
    <row r="12" spans="1:8">
      <c r="A12" s="1"/>
      <c r="B12" s="1"/>
      <c r="C12" s="1"/>
      <c r="D12" s="1"/>
      <c r="E12" s="1">
        <v>1018</v>
      </c>
      <c r="F12" s="1" t="s">
        <v>50</v>
      </c>
      <c r="G12" s="1" t="s">
        <v>37</v>
      </c>
      <c r="H12" s="19" t="str">
        <f t="shared" si="0"/>
        <v>1018_RT</v>
      </c>
    </row>
    <row r="13" spans="1:8">
      <c r="A13" s="1"/>
      <c r="B13" s="1"/>
      <c r="C13" s="1"/>
      <c r="D13" s="1"/>
      <c r="E13" s="1">
        <v>1018</v>
      </c>
      <c r="F13" s="1" t="s">
        <v>50</v>
      </c>
      <c r="G13" s="1" t="s">
        <v>157</v>
      </c>
      <c r="H13" s="19" t="str">
        <f t="shared" si="0"/>
        <v>1018_RT</v>
      </c>
    </row>
    <row r="14" spans="1:8">
      <c r="E14" s="1">
        <v>309</v>
      </c>
      <c r="F14" s="1" t="s">
        <v>55</v>
      </c>
      <c r="G14" s="1" t="s">
        <v>51</v>
      </c>
      <c r="H14" s="19" t="str">
        <f t="shared" si="0"/>
        <v>309_DF</v>
      </c>
    </row>
    <row r="15" spans="1:8">
      <c r="E15" s="1">
        <v>309</v>
      </c>
      <c r="F15" s="1" t="s">
        <v>65</v>
      </c>
      <c r="G15" s="1" t="s">
        <v>121</v>
      </c>
      <c r="H15" s="19" t="str">
        <f t="shared" si="0"/>
        <v>309_F</v>
      </c>
    </row>
    <row r="16" spans="1:8">
      <c r="E16" s="1">
        <v>309</v>
      </c>
      <c r="F16" s="1" t="s">
        <v>57</v>
      </c>
      <c r="G16" s="1" t="s">
        <v>25</v>
      </c>
      <c r="H16" s="19" t="str">
        <f t="shared" si="0"/>
        <v>309_R</v>
      </c>
    </row>
    <row r="17" spans="5:8">
      <c r="E17" s="1">
        <v>309</v>
      </c>
      <c r="F17" s="1" t="s">
        <v>50</v>
      </c>
      <c r="G17" s="1" t="s">
        <v>33</v>
      </c>
      <c r="H17" s="19" t="str">
        <f t="shared" si="0"/>
        <v>309_RT</v>
      </c>
    </row>
    <row r="18" spans="5:8">
      <c r="E18" s="1">
        <v>309</v>
      </c>
      <c r="F18" s="1" t="s">
        <v>50</v>
      </c>
      <c r="G18" s="1" t="s">
        <v>37</v>
      </c>
      <c r="H18" s="19" t="str">
        <f t="shared" si="0"/>
        <v>309_RT</v>
      </c>
    </row>
    <row r="19" spans="5:8">
      <c r="E19" s="1">
        <v>309</v>
      </c>
      <c r="F19" s="1" t="s">
        <v>50</v>
      </c>
      <c r="G19" s="1" t="s">
        <v>157</v>
      </c>
      <c r="H19" s="19" t="str">
        <f t="shared" si="0"/>
        <v>309_RT</v>
      </c>
    </row>
    <row r="20" spans="5:8">
      <c r="H20" s="19" t="str">
        <f t="shared" si="0"/>
        <v/>
      </c>
    </row>
    <row r="21" spans="5:8">
      <c r="H21" s="19" t="str">
        <f t="shared" si="0"/>
        <v/>
      </c>
    </row>
    <row r="22" spans="5:8">
      <c r="H22" s="19" t="str">
        <f t="shared" si="0"/>
        <v/>
      </c>
    </row>
    <row r="23" spans="5:8">
      <c r="H23" s="19" t="str">
        <f t="shared" si="0"/>
        <v/>
      </c>
    </row>
    <row r="24" spans="5:8">
      <c r="H24" s="19" t="str">
        <f t="shared" si="0"/>
        <v/>
      </c>
    </row>
    <row r="25" spans="5:8">
      <c r="H25" s="19" t="str">
        <f t="shared" si="0"/>
        <v/>
      </c>
    </row>
    <row r="26" spans="5:8">
      <c r="H26" s="19" t="str">
        <f t="shared" si="0"/>
        <v/>
      </c>
    </row>
    <row r="27" spans="5:8">
      <c r="H27" s="19" t="str">
        <f t="shared" si="0"/>
        <v/>
      </c>
    </row>
    <row r="28" spans="5:8">
      <c r="H28" s="19" t="str">
        <f t="shared" si="0"/>
        <v/>
      </c>
    </row>
    <row r="29" spans="5:8">
      <c r="H29" s="19" t="str">
        <f t="shared" si="0"/>
        <v/>
      </c>
    </row>
    <row r="30" spans="5:8">
      <c r="H30" s="19" t="str">
        <f t="shared" si="0"/>
        <v/>
      </c>
    </row>
    <row r="31" spans="5:8">
      <c r="H31" s="19" t="str">
        <f t="shared" si="0"/>
        <v/>
      </c>
    </row>
    <row r="32" spans="5:8">
      <c r="H32" s="19" t="str">
        <f t="shared" si="0"/>
        <v/>
      </c>
    </row>
    <row r="33" spans="8:8">
      <c r="H33" s="19" t="str">
        <f t="shared" si="0"/>
        <v/>
      </c>
    </row>
    <row r="34" spans="8:8">
      <c r="H34" s="19" t="str">
        <f t="shared" si="0"/>
        <v/>
      </c>
    </row>
    <row r="35" spans="8:8">
      <c r="H35" s="19" t="str">
        <f t="shared" si="0"/>
        <v/>
      </c>
    </row>
    <row r="36" spans="8:8">
      <c r="H36" s="19" t="str">
        <f t="shared" si="0"/>
        <v/>
      </c>
    </row>
    <row r="37" spans="8:8">
      <c r="H37" s="19" t="str">
        <f t="shared" si="0"/>
        <v/>
      </c>
    </row>
    <row r="38" spans="8:8">
      <c r="H38" s="19" t="str">
        <f t="shared" si="0"/>
        <v/>
      </c>
    </row>
    <row r="39" spans="8:8">
      <c r="H39" s="19" t="str">
        <f t="shared" si="0"/>
        <v/>
      </c>
    </row>
    <row r="40" spans="8:8">
      <c r="H40" s="19" t="str">
        <f t="shared" si="0"/>
        <v/>
      </c>
    </row>
    <row r="41" spans="8:8">
      <c r="H41" s="19" t="str">
        <f t="shared" si="0"/>
        <v/>
      </c>
    </row>
    <row r="42" spans="8:8">
      <c r="H42" s="19" t="str">
        <f t="shared" si="0"/>
        <v/>
      </c>
    </row>
    <row r="43" spans="8:8">
      <c r="H43" s="19" t="str">
        <f t="shared" si="0"/>
        <v/>
      </c>
    </row>
    <row r="44" spans="8:8">
      <c r="H44" s="19" t="str">
        <f t="shared" si="0"/>
        <v/>
      </c>
    </row>
    <row r="45" spans="8:8">
      <c r="H45" s="19" t="str">
        <f t="shared" si="0"/>
        <v/>
      </c>
    </row>
    <row r="46" spans="8:8">
      <c r="H46" s="19" t="str">
        <f t="shared" si="0"/>
        <v/>
      </c>
    </row>
    <row r="47" spans="8:8">
      <c r="H47" s="19" t="str">
        <f t="shared" si="0"/>
        <v/>
      </c>
    </row>
    <row r="48" spans="8:8">
      <c r="H48" s="19" t="str">
        <f t="shared" si="0"/>
        <v/>
      </c>
    </row>
    <row r="49" spans="8:8">
      <c r="H49" s="19" t="str">
        <f t="shared" si="0"/>
        <v/>
      </c>
    </row>
    <row r="50" spans="8:8">
      <c r="H50" s="19"/>
    </row>
    <row r="51" spans="8:8">
      <c r="H51" s="19"/>
    </row>
    <row r="52" spans="8:8">
      <c r="H52" s="19"/>
    </row>
    <row r="53" spans="8:8">
      <c r="H53" s="19"/>
    </row>
    <row r="54" spans="8:8">
      <c r="H54" s="19"/>
    </row>
    <row r="55" spans="8:8">
      <c r="H55" s="19"/>
    </row>
    <row r="56" spans="8:8">
      <c r="H56" s="19"/>
    </row>
    <row r="57" spans="8:8">
      <c r="H57" s="19"/>
    </row>
    <row r="58" spans="8:8">
      <c r="H58" s="19"/>
    </row>
    <row r="59" spans="8:8">
      <c r="H59" s="19"/>
    </row>
    <row r="60" spans="8:8">
      <c r="H60" s="19"/>
    </row>
    <row r="61" spans="8:8">
      <c r="H61" s="19"/>
    </row>
    <row r="62" spans="8:8">
      <c r="H62" s="19"/>
    </row>
    <row r="63" spans="8:8">
      <c r="H63" s="19"/>
    </row>
    <row r="64" spans="8:8">
      <c r="H64" s="19"/>
    </row>
    <row r="65" spans="8:8">
      <c r="H65" s="19"/>
    </row>
    <row r="66" spans="8:8">
      <c r="H66" s="19"/>
    </row>
    <row r="67" spans="8:8">
      <c r="H67" s="19"/>
    </row>
    <row r="68" spans="8:8">
      <c r="H68" s="19"/>
    </row>
    <row r="69" spans="8:8">
      <c r="H69" s="19"/>
    </row>
    <row r="70" spans="8:8">
      <c r="H70" s="19"/>
    </row>
    <row r="71" spans="8:8">
      <c r="H71" s="19"/>
    </row>
    <row r="72" spans="8:8">
      <c r="H72" s="19"/>
    </row>
    <row r="73" spans="8:8">
      <c r="H73" s="19"/>
    </row>
    <row r="74" spans="8:8">
      <c r="H74" s="19"/>
    </row>
    <row r="75" spans="8:8">
      <c r="H75" s="19"/>
    </row>
    <row r="76" spans="8:8">
      <c r="H76" s="19"/>
    </row>
    <row r="77" spans="8:8">
      <c r="H77" s="19"/>
    </row>
    <row r="78" spans="8:8">
      <c r="H78" s="19"/>
    </row>
    <row r="79" spans="8:8">
      <c r="H79" s="19"/>
    </row>
    <row r="80" spans="8:8">
      <c r="H80" s="19"/>
    </row>
    <row r="81" spans="8:8">
      <c r="H81" s="19"/>
    </row>
    <row r="82" spans="8:8">
      <c r="H82" s="19"/>
    </row>
    <row r="83" spans="8:8">
      <c r="H83" s="19"/>
    </row>
    <row r="84" spans="8:8">
      <c r="H84" s="19"/>
    </row>
    <row r="85" spans="8:8">
      <c r="H85" s="19"/>
    </row>
    <row r="86" spans="8:8">
      <c r="H86" s="19"/>
    </row>
    <row r="87" spans="8:8">
      <c r="H87" s="19"/>
    </row>
    <row r="88" spans="8:8">
      <c r="H88" s="19"/>
    </row>
    <row r="89" spans="8:8">
      <c r="H89" s="19"/>
    </row>
    <row r="90" spans="8:8">
      <c r="H90" s="19"/>
    </row>
    <row r="91" spans="8:8">
      <c r="H91" s="19"/>
    </row>
    <row r="92" spans="8:8">
      <c r="H92" s="19"/>
    </row>
    <row r="93" spans="8:8">
      <c r="H93" s="19"/>
    </row>
    <row r="94" spans="8:8">
      <c r="H94" s="19"/>
    </row>
    <row r="95" spans="8:8">
      <c r="H95" s="19"/>
    </row>
    <row r="96" spans="8:8">
      <c r="H96" s="19"/>
    </row>
    <row r="97" spans="8:8">
      <c r="H97" s="19"/>
    </row>
    <row r="98" spans="8:8">
      <c r="H98" s="19"/>
    </row>
    <row r="99" spans="8:8">
      <c r="H99" s="19"/>
    </row>
    <row r="100" spans="8:8">
      <c r="H100" s="19"/>
    </row>
    <row r="101" spans="8:8">
      <c r="H101" s="19"/>
    </row>
    <row r="102" spans="8:8">
      <c r="H102" s="19"/>
    </row>
    <row r="103" spans="8:8">
      <c r="H103" s="19"/>
    </row>
    <row r="104" spans="8:8">
      <c r="H104" s="19"/>
    </row>
    <row r="105" spans="8:8">
      <c r="H105" s="19"/>
    </row>
    <row r="106" spans="8:8">
      <c r="H106" s="19"/>
    </row>
    <row r="107" spans="8:8">
      <c r="H107" s="19"/>
    </row>
    <row r="108" spans="8:8">
      <c r="H108" s="19"/>
    </row>
    <row r="109" spans="8:8">
      <c r="H109" s="19"/>
    </row>
    <row r="110" spans="8:8">
      <c r="H110" s="19"/>
    </row>
    <row r="111" spans="8:8">
      <c r="H111" s="19"/>
    </row>
    <row r="112" spans="8:8">
      <c r="H112" s="19"/>
    </row>
    <row r="113" spans="8:8">
      <c r="H113" s="19"/>
    </row>
    <row r="114" spans="8:8">
      <c r="H114" s="19"/>
    </row>
    <row r="115" spans="8:8">
      <c r="H115" s="19"/>
    </row>
    <row r="116" spans="8:8">
      <c r="H116" s="19"/>
    </row>
    <row r="117" spans="8:8">
      <c r="H117" s="19"/>
    </row>
    <row r="118" spans="8:8">
      <c r="H118" s="19"/>
    </row>
    <row r="119" spans="8:8">
      <c r="H119" s="19"/>
    </row>
    <row r="120" spans="8:8">
      <c r="H120" s="19"/>
    </row>
    <row r="121" spans="8:8">
      <c r="H121" s="19"/>
    </row>
    <row r="122" spans="8:8">
      <c r="H122" s="19"/>
    </row>
    <row r="123" spans="8:8">
      <c r="H123" s="19"/>
    </row>
    <row r="124" spans="8:8">
      <c r="H124" s="19"/>
    </row>
    <row r="125" spans="8:8">
      <c r="H125" s="19"/>
    </row>
    <row r="126" spans="8:8">
      <c r="H126" s="19"/>
    </row>
    <row r="127" spans="8:8">
      <c r="H127" s="19"/>
    </row>
    <row r="128" spans="8:8">
      <c r="H128" s="19"/>
    </row>
    <row r="129" spans="8:8">
      <c r="H129" s="19"/>
    </row>
    <row r="130" spans="8:8">
      <c r="H130" s="19"/>
    </row>
    <row r="131" spans="8:8">
      <c r="H131" s="19"/>
    </row>
    <row r="132" spans="8:8">
      <c r="H132" s="19"/>
    </row>
    <row r="133" spans="8:8">
      <c r="H133" s="19"/>
    </row>
    <row r="134" spans="8:8">
      <c r="H134" s="19"/>
    </row>
    <row r="135" spans="8:8">
      <c r="H135" s="19"/>
    </row>
    <row r="136" spans="8:8">
      <c r="H136" s="19"/>
    </row>
    <row r="137" spans="8:8">
      <c r="H137" s="19"/>
    </row>
    <row r="138" spans="8:8">
      <c r="H138" s="19"/>
    </row>
    <row r="139" spans="8:8">
      <c r="H139" s="19"/>
    </row>
    <row r="140" spans="8:8">
      <c r="H140" s="19"/>
    </row>
    <row r="141" spans="8:8">
      <c r="H141" s="19"/>
    </row>
    <row r="142" spans="8:8">
      <c r="H142" s="19"/>
    </row>
    <row r="143" spans="8:8">
      <c r="H143" s="19"/>
    </row>
    <row r="144" spans="8:8">
      <c r="H144" s="19"/>
    </row>
    <row r="145" spans="8:8">
      <c r="H145" s="19"/>
    </row>
    <row r="146" spans="8:8">
      <c r="H146" s="19"/>
    </row>
    <row r="147" spans="8:8">
      <c r="H147" s="19"/>
    </row>
    <row r="148" spans="8:8">
      <c r="H148" s="19"/>
    </row>
    <row r="149" spans="8:8">
      <c r="H149" s="19"/>
    </row>
    <row r="150" spans="8:8">
      <c r="H150" s="19"/>
    </row>
    <row r="151" spans="8:8">
      <c r="H151" s="19"/>
    </row>
    <row r="152" spans="8:8">
      <c r="H152" s="19"/>
    </row>
    <row r="153" spans="8:8">
      <c r="H153" s="19"/>
    </row>
    <row r="154" spans="8:8">
      <c r="H154" s="19"/>
    </row>
    <row r="155" spans="8:8">
      <c r="H155" s="19"/>
    </row>
    <row r="156" spans="8:8">
      <c r="H156" s="19"/>
    </row>
    <row r="157" spans="8:8">
      <c r="H157" s="19"/>
    </row>
    <row r="158" spans="8:8">
      <c r="H158" s="19"/>
    </row>
    <row r="159" spans="8:8">
      <c r="H159" s="19"/>
    </row>
    <row r="160" spans="8:8">
      <c r="H160" s="19"/>
    </row>
    <row r="161" spans="8:8">
      <c r="H161" s="19"/>
    </row>
    <row r="162" spans="8:8">
      <c r="H162" s="19"/>
    </row>
    <row r="163" spans="8:8">
      <c r="H163" s="19"/>
    </row>
    <row r="164" spans="8:8">
      <c r="H164" s="19"/>
    </row>
    <row r="165" spans="8:8">
      <c r="H165" s="19"/>
    </row>
    <row r="166" spans="8:8">
      <c r="H166" s="19"/>
    </row>
    <row r="167" spans="8:8">
      <c r="H167" s="19"/>
    </row>
    <row r="168" spans="8:8">
      <c r="H168" s="19"/>
    </row>
    <row r="169" spans="8:8">
      <c r="H169" s="19"/>
    </row>
    <row r="170" spans="8:8">
      <c r="H170" s="19"/>
    </row>
    <row r="171" spans="8:8">
      <c r="H171" s="19"/>
    </row>
    <row r="172" spans="8:8">
      <c r="H172" s="19"/>
    </row>
    <row r="173" spans="8:8">
      <c r="H173" s="19"/>
    </row>
    <row r="174" spans="8:8">
      <c r="H174" s="19"/>
    </row>
    <row r="175" spans="8:8">
      <c r="H175" s="19"/>
    </row>
    <row r="176" spans="8:8">
      <c r="H176" s="19"/>
    </row>
    <row r="177" spans="8:8">
      <c r="H177" s="19"/>
    </row>
    <row r="178" spans="8:8">
      <c r="H178" s="19"/>
    </row>
    <row r="179" spans="8:8">
      <c r="H179" s="19"/>
    </row>
    <row r="180" spans="8:8">
      <c r="H180" s="19"/>
    </row>
    <row r="181" spans="8:8">
      <c r="H181" s="19"/>
    </row>
    <row r="182" spans="8:8">
      <c r="H182" s="19"/>
    </row>
    <row r="183" spans="8:8">
      <c r="H183" s="19"/>
    </row>
    <row r="184" spans="8:8">
      <c r="H184" s="19"/>
    </row>
    <row r="185" spans="8:8">
      <c r="H185" s="19"/>
    </row>
    <row r="186" spans="8:8">
      <c r="H186" s="19"/>
    </row>
    <row r="187" spans="8:8">
      <c r="H187" s="19"/>
    </row>
    <row r="188" spans="8:8">
      <c r="H188" s="19"/>
    </row>
    <row r="189" spans="8:8">
      <c r="H189" s="19"/>
    </row>
    <row r="190" spans="8:8">
      <c r="H190" s="19"/>
    </row>
    <row r="191" spans="8:8">
      <c r="H191" s="19"/>
    </row>
    <row r="192" spans="8:8">
      <c r="H192" s="19"/>
    </row>
    <row r="193" spans="8:8">
      <c r="H193" s="19"/>
    </row>
    <row r="194" spans="8:8">
      <c r="H194" s="19"/>
    </row>
    <row r="195" spans="8:8">
      <c r="H195" s="19"/>
    </row>
    <row r="196" spans="8:8">
      <c r="H196" s="19"/>
    </row>
    <row r="197" spans="8:8">
      <c r="H197" s="19"/>
    </row>
    <row r="198" spans="8:8">
      <c r="H198" s="19"/>
    </row>
    <row r="199" spans="8:8">
      <c r="H199" s="19"/>
    </row>
    <row r="200" spans="8:8">
      <c r="H200" s="19"/>
    </row>
    <row r="201" spans="8:8">
      <c r="H201" s="19"/>
    </row>
    <row r="202" spans="8:8">
      <c r="H202" s="19"/>
    </row>
    <row r="203" spans="8:8">
      <c r="H203" s="19"/>
    </row>
    <row r="204" spans="8:8">
      <c r="H204" s="19"/>
    </row>
    <row r="205" spans="8:8">
      <c r="H205" s="19"/>
    </row>
    <row r="206" spans="8:8">
      <c r="H206" s="19"/>
    </row>
    <row r="207" spans="8:8">
      <c r="H207" s="19"/>
    </row>
    <row r="208" spans="8:8">
      <c r="H208" s="19"/>
    </row>
    <row r="209" spans="8:8">
      <c r="H209" s="19"/>
    </row>
    <row r="210" spans="8:8">
      <c r="H210" s="19"/>
    </row>
    <row r="211" spans="8:8">
      <c r="H211" s="19"/>
    </row>
    <row r="212" spans="8:8">
      <c r="H212" s="19"/>
    </row>
    <row r="213" spans="8:8">
      <c r="H213" s="19"/>
    </row>
    <row r="214" spans="8:8">
      <c r="H214" s="19"/>
    </row>
    <row r="215" spans="8:8">
      <c r="H215" s="19"/>
    </row>
    <row r="216" spans="8:8">
      <c r="H216" s="19"/>
    </row>
    <row r="217" spans="8:8">
      <c r="H217" s="19"/>
    </row>
    <row r="218" spans="8:8">
      <c r="H218" s="19"/>
    </row>
    <row r="219" spans="8:8">
      <c r="H219" s="19"/>
    </row>
    <row r="220" spans="8:8">
      <c r="H220" s="19"/>
    </row>
    <row r="221" spans="8:8">
      <c r="H221" s="19"/>
    </row>
    <row r="222" spans="8:8">
      <c r="H222" s="19"/>
    </row>
    <row r="223" spans="8:8">
      <c r="H223" s="19"/>
    </row>
    <row r="224" spans="8:8">
      <c r="H224" s="19"/>
    </row>
    <row r="225" spans="8:8">
      <c r="H225" s="19"/>
    </row>
    <row r="226" spans="8:8">
      <c r="H226" s="19"/>
    </row>
    <row r="227" spans="8:8">
      <c r="H227" s="19"/>
    </row>
    <row r="228" spans="8:8">
      <c r="H228" s="19"/>
    </row>
    <row r="229" spans="8:8">
      <c r="H229" s="19"/>
    </row>
    <row r="230" spans="8:8">
      <c r="H230" s="19"/>
    </row>
    <row r="231" spans="8:8">
      <c r="H231" s="19"/>
    </row>
    <row r="232" spans="8:8">
      <c r="H232" s="19"/>
    </row>
    <row r="233" spans="8:8">
      <c r="H233" s="19"/>
    </row>
    <row r="234" spans="8:8">
      <c r="H234" s="19"/>
    </row>
    <row r="235" spans="8:8">
      <c r="H235" s="19"/>
    </row>
    <row r="236" spans="8:8">
      <c r="H236" s="19"/>
    </row>
    <row r="237" spans="8:8">
      <c r="H237" s="19"/>
    </row>
    <row r="238" spans="8:8">
      <c r="H238" s="19"/>
    </row>
    <row r="239" spans="8:8">
      <c r="H239" s="19"/>
    </row>
    <row r="240" spans="8:8">
      <c r="H240" s="19"/>
    </row>
    <row r="241" spans="8:8">
      <c r="H241" s="19"/>
    </row>
    <row r="242" spans="8:8">
      <c r="H242" s="19"/>
    </row>
    <row r="243" spans="8:8">
      <c r="H243" s="19"/>
    </row>
    <row r="244" spans="8:8">
      <c r="H244" s="19"/>
    </row>
    <row r="245" spans="8:8">
      <c r="H245" s="19"/>
    </row>
    <row r="246" spans="8:8">
      <c r="H246" s="19"/>
    </row>
    <row r="247" spans="8:8">
      <c r="H247" s="19"/>
    </row>
    <row r="248" spans="8:8">
      <c r="H248" s="19"/>
    </row>
    <row r="249" spans="8:8">
      <c r="H249" s="19"/>
    </row>
    <row r="250" spans="8:8">
      <c r="H250" s="19"/>
    </row>
    <row r="251" spans="8:8">
      <c r="H251" s="19"/>
    </row>
    <row r="252" spans="8:8">
      <c r="H252" s="19"/>
    </row>
    <row r="253" spans="8:8">
      <c r="H253" s="19"/>
    </row>
    <row r="254" spans="8:8">
      <c r="H254" s="19"/>
    </row>
    <row r="255" spans="8:8">
      <c r="H255" s="19"/>
    </row>
    <row r="256" spans="8:8">
      <c r="H256" s="19"/>
    </row>
    <row r="257" spans="8:8">
      <c r="H257" s="19"/>
    </row>
    <row r="258" spans="8:8">
      <c r="H258" s="19"/>
    </row>
    <row r="259" spans="8:8">
      <c r="H259" s="19"/>
    </row>
    <row r="260" spans="8:8">
      <c r="H260" s="19"/>
    </row>
    <row r="261" spans="8:8">
      <c r="H261" s="19"/>
    </row>
    <row r="262" spans="8:8">
      <c r="H262" s="19"/>
    </row>
    <row r="263" spans="8:8">
      <c r="H263" s="19"/>
    </row>
    <row r="264" spans="8:8">
      <c r="H264" s="19"/>
    </row>
    <row r="265" spans="8:8">
      <c r="H265" s="19"/>
    </row>
    <row r="266" spans="8:8">
      <c r="H266" s="19"/>
    </row>
    <row r="267" spans="8:8">
      <c r="H267" s="19"/>
    </row>
    <row r="268" spans="8:8">
      <c r="H268" s="19"/>
    </row>
    <row r="269" spans="8:8">
      <c r="H269" s="19"/>
    </row>
    <row r="270" spans="8:8">
      <c r="H270" s="19"/>
    </row>
    <row r="271" spans="8:8">
      <c r="H271" s="19"/>
    </row>
    <row r="272" spans="8:8">
      <c r="H272" s="19"/>
    </row>
    <row r="273" spans="8:8">
      <c r="H273" s="19"/>
    </row>
    <row r="274" spans="8:8">
      <c r="H274" s="19"/>
    </row>
    <row r="275" spans="8:8">
      <c r="H275" s="19"/>
    </row>
    <row r="276" spans="8:8">
      <c r="H276" s="19"/>
    </row>
    <row r="277" spans="8:8">
      <c r="H277" s="19"/>
    </row>
    <row r="278" spans="8:8">
      <c r="H278" s="19"/>
    </row>
    <row r="279" spans="8:8">
      <c r="H279" s="19"/>
    </row>
    <row r="280" spans="8:8">
      <c r="H280" s="19"/>
    </row>
    <row r="281" spans="8:8">
      <c r="H281" s="19"/>
    </row>
    <row r="282" spans="8:8">
      <c r="H282" s="19"/>
    </row>
    <row r="283" spans="8:8">
      <c r="H283" s="19"/>
    </row>
    <row r="284" spans="8:8">
      <c r="H284" s="19"/>
    </row>
    <row r="285" spans="8:8">
      <c r="H285" s="19"/>
    </row>
    <row r="286" spans="8:8">
      <c r="H286" s="19"/>
    </row>
    <row r="287" spans="8:8">
      <c r="H287" s="19"/>
    </row>
    <row r="288" spans="8:8">
      <c r="H288" s="19"/>
    </row>
    <row r="289" spans="8:8">
      <c r="H289" s="19"/>
    </row>
    <row r="290" spans="8:8">
      <c r="H290" s="19"/>
    </row>
    <row r="291" spans="8:8">
      <c r="H291" s="19"/>
    </row>
    <row r="292" spans="8:8">
      <c r="H292" s="19"/>
    </row>
    <row r="293" spans="8:8">
      <c r="H293" s="19"/>
    </row>
    <row r="294" spans="8:8">
      <c r="H294" s="19"/>
    </row>
    <row r="295" spans="8:8">
      <c r="H295" s="19"/>
    </row>
    <row r="296" spans="8:8">
      <c r="H296" s="19"/>
    </row>
    <row r="297" spans="8:8">
      <c r="H297" s="19"/>
    </row>
    <row r="298" spans="8:8">
      <c r="H298" s="19"/>
    </row>
    <row r="299" spans="8:8">
      <c r="H299" s="19"/>
    </row>
    <row r="300" spans="8:8">
      <c r="H300" s="19"/>
    </row>
    <row r="301" spans="8:8">
      <c r="H301" s="19"/>
    </row>
    <row r="302" spans="8:8">
      <c r="H302" s="19"/>
    </row>
    <row r="303" spans="8:8">
      <c r="H303" s="19"/>
    </row>
    <row r="304" spans="8:8">
      <c r="H304" s="19"/>
    </row>
    <row r="305" spans="8:8">
      <c r="H305" s="19"/>
    </row>
    <row r="306" spans="8:8">
      <c r="H306" s="19"/>
    </row>
    <row r="307" spans="8:8">
      <c r="H307" s="19"/>
    </row>
    <row r="308" spans="8:8">
      <c r="H308" s="19"/>
    </row>
    <row r="309" spans="8:8">
      <c r="H309" s="19"/>
    </row>
    <row r="310" spans="8:8">
      <c r="H310" s="19"/>
    </row>
    <row r="311" spans="8:8">
      <c r="H311" s="19"/>
    </row>
    <row r="312" spans="8:8">
      <c r="H312" s="19"/>
    </row>
    <row r="313" spans="8:8">
      <c r="H313" s="19"/>
    </row>
    <row r="314" spans="8:8">
      <c r="H314" s="19"/>
    </row>
    <row r="315" spans="8:8">
      <c r="H315" s="19"/>
    </row>
    <row r="316" spans="8:8">
      <c r="H316" s="19"/>
    </row>
    <row r="317" spans="8:8">
      <c r="H317" s="19"/>
    </row>
    <row r="318" spans="8:8">
      <c r="H318" s="19"/>
    </row>
    <row r="319" spans="8:8">
      <c r="H319" s="19"/>
    </row>
    <row r="320" spans="8:8">
      <c r="H320" s="19"/>
    </row>
    <row r="321" spans="8:8">
      <c r="H321" s="19"/>
    </row>
    <row r="322" spans="8:8">
      <c r="H322" s="19"/>
    </row>
    <row r="323" spans="8:8">
      <c r="H323" s="19"/>
    </row>
    <row r="324" spans="8:8">
      <c r="H324" s="19"/>
    </row>
    <row r="325" spans="8:8">
      <c r="H325" s="19"/>
    </row>
    <row r="326" spans="8:8">
      <c r="H326" s="19"/>
    </row>
    <row r="327" spans="8:8">
      <c r="H327" s="19"/>
    </row>
    <row r="328" spans="8:8">
      <c r="H328" s="19"/>
    </row>
    <row r="329" spans="8:8">
      <c r="H329" s="19"/>
    </row>
    <row r="330" spans="8:8">
      <c r="H330" s="19"/>
    </row>
    <row r="331" spans="8:8">
      <c r="H331" s="19"/>
    </row>
    <row r="332" spans="8:8">
      <c r="H332" s="19"/>
    </row>
    <row r="333" spans="8:8">
      <c r="H333" s="19"/>
    </row>
    <row r="334" spans="8:8">
      <c r="H334" s="19"/>
    </row>
    <row r="335" spans="8:8">
      <c r="H335" s="19"/>
    </row>
    <row r="336" spans="8:8">
      <c r="H336" s="19"/>
    </row>
    <row r="337" spans="8:8">
      <c r="H337" s="19"/>
    </row>
    <row r="338" spans="8:8">
      <c r="H338" s="19"/>
    </row>
    <row r="339" spans="8:8">
      <c r="H339" s="19"/>
    </row>
    <row r="340" spans="8:8">
      <c r="H340" s="19"/>
    </row>
    <row r="341" spans="8:8">
      <c r="H341" s="19"/>
    </row>
    <row r="342" spans="8:8">
      <c r="H342" s="19"/>
    </row>
    <row r="343" spans="8:8">
      <c r="H343" s="19"/>
    </row>
    <row r="344" spans="8:8">
      <c r="H344" s="19"/>
    </row>
    <row r="345" spans="8:8">
      <c r="H345" s="19"/>
    </row>
    <row r="346" spans="8:8">
      <c r="H346" s="19"/>
    </row>
    <row r="347" spans="8:8">
      <c r="H347" s="19"/>
    </row>
    <row r="348" spans="8:8">
      <c r="H348" s="19"/>
    </row>
    <row r="349" spans="8:8">
      <c r="H349" s="19"/>
    </row>
    <row r="350" spans="8:8">
      <c r="H350" s="19"/>
    </row>
    <row r="351" spans="8:8">
      <c r="H351" s="19"/>
    </row>
    <row r="352" spans="8:8">
      <c r="H352" s="19"/>
    </row>
    <row r="353" spans="8:8">
      <c r="H353" s="19"/>
    </row>
    <row r="354" spans="8:8">
      <c r="H354" s="19"/>
    </row>
    <row r="355" spans="8:8">
      <c r="H355" s="19"/>
    </row>
    <row r="356" spans="8:8">
      <c r="H356" s="19"/>
    </row>
    <row r="357" spans="8:8">
      <c r="H357" s="19"/>
    </row>
    <row r="358" spans="8:8">
      <c r="H358" s="19"/>
    </row>
    <row r="359" spans="8:8">
      <c r="H359" s="19"/>
    </row>
    <row r="360" spans="8:8">
      <c r="H360" s="19"/>
    </row>
    <row r="361" spans="8:8">
      <c r="H361" s="19"/>
    </row>
    <row r="362" spans="8:8">
      <c r="H362" s="19"/>
    </row>
    <row r="363" spans="8:8">
      <c r="H363" s="19"/>
    </row>
    <row r="364" spans="8:8">
      <c r="H364" s="19"/>
    </row>
    <row r="365" spans="8:8">
      <c r="H365" s="19"/>
    </row>
    <row r="366" spans="8:8">
      <c r="H366" s="19"/>
    </row>
    <row r="367" spans="8:8">
      <c r="H367" s="19"/>
    </row>
    <row r="368" spans="8:8">
      <c r="H368" s="19"/>
    </row>
    <row r="369" spans="8:8">
      <c r="H369" s="19"/>
    </row>
    <row r="370" spans="8:8">
      <c r="H370" s="19"/>
    </row>
    <row r="371" spans="8:8">
      <c r="H371" s="19"/>
    </row>
    <row r="372" spans="8:8">
      <c r="H372" s="19"/>
    </row>
    <row r="373" spans="8:8">
      <c r="H373" s="19"/>
    </row>
    <row r="374" spans="8:8">
      <c r="H374" s="19"/>
    </row>
    <row r="375" spans="8:8">
      <c r="H375" s="19"/>
    </row>
    <row r="376" spans="8:8">
      <c r="H376" s="19"/>
    </row>
    <row r="377" spans="8:8">
      <c r="H377" s="19"/>
    </row>
    <row r="378" spans="8:8">
      <c r="H378" s="19"/>
    </row>
    <row r="379" spans="8:8">
      <c r="H379" s="19"/>
    </row>
    <row r="380" spans="8:8">
      <c r="H380" s="19"/>
    </row>
    <row r="381" spans="8:8">
      <c r="H381" s="19"/>
    </row>
    <row r="382" spans="8:8">
      <c r="H382" s="19"/>
    </row>
    <row r="383" spans="8:8">
      <c r="H383" s="19"/>
    </row>
    <row r="384" spans="8:8">
      <c r="H384" s="19"/>
    </row>
    <row r="385" spans="8:8">
      <c r="H385" s="19"/>
    </row>
    <row r="386" spans="8:8">
      <c r="H386" s="19"/>
    </row>
    <row r="387" spans="8:8">
      <c r="H387" s="19"/>
    </row>
    <row r="388" spans="8:8">
      <c r="H388" s="19"/>
    </row>
    <row r="389" spans="8:8">
      <c r="H389" s="19"/>
    </row>
    <row r="390" spans="8:8">
      <c r="H390" s="19"/>
    </row>
    <row r="391" spans="8:8">
      <c r="H391" s="19"/>
    </row>
    <row r="392" spans="8:8">
      <c r="H392" s="19"/>
    </row>
    <row r="393" spans="8:8">
      <c r="H393" s="19"/>
    </row>
    <row r="394" spans="8:8">
      <c r="H394" s="19"/>
    </row>
    <row r="395" spans="8:8">
      <c r="H395" s="19"/>
    </row>
    <row r="396" spans="8:8">
      <c r="H396" s="19"/>
    </row>
    <row r="397" spans="8:8">
      <c r="H397" s="19"/>
    </row>
    <row r="398" spans="8:8">
      <c r="H398" s="19"/>
    </row>
    <row r="399" spans="8:8">
      <c r="H399" s="19"/>
    </row>
    <row r="400" spans="8:8">
      <c r="H400" s="19"/>
    </row>
    <row r="401" spans="8:8">
      <c r="H401" s="19"/>
    </row>
    <row r="402" spans="8:8">
      <c r="H402" s="19"/>
    </row>
    <row r="403" spans="8:8">
      <c r="H403" s="19"/>
    </row>
    <row r="404" spans="8:8">
      <c r="H404" s="19"/>
    </row>
    <row r="405" spans="8:8">
      <c r="H405" s="19"/>
    </row>
    <row r="406" spans="8:8">
      <c r="H406" s="19"/>
    </row>
    <row r="407" spans="8:8">
      <c r="H407" s="19"/>
    </row>
    <row r="408" spans="8:8">
      <c r="H408" s="19"/>
    </row>
    <row r="409" spans="8:8">
      <c r="H409" s="19"/>
    </row>
    <row r="410" spans="8:8">
      <c r="H410" s="19"/>
    </row>
    <row r="411" spans="8:8">
      <c r="H411" s="19"/>
    </row>
    <row r="412" spans="8:8">
      <c r="H412" s="19"/>
    </row>
    <row r="413" spans="8:8">
      <c r="H413" s="19"/>
    </row>
    <row r="414" spans="8:8">
      <c r="H414" s="19"/>
    </row>
    <row r="415" spans="8:8">
      <c r="H415" s="19"/>
    </row>
    <row r="416" spans="8:8">
      <c r="H416" s="19"/>
    </row>
    <row r="417" spans="8:8">
      <c r="H417" s="19"/>
    </row>
    <row r="418" spans="8:8">
      <c r="H418" s="19"/>
    </row>
    <row r="419" spans="8:8">
      <c r="H419" s="19"/>
    </row>
    <row r="420" spans="8:8">
      <c r="H420" s="19"/>
    </row>
    <row r="421" spans="8:8">
      <c r="H421" s="19"/>
    </row>
    <row r="422" spans="8:8">
      <c r="H422" s="19"/>
    </row>
    <row r="423" spans="8:8">
      <c r="H423" s="19"/>
    </row>
    <row r="424" spans="8:8">
      <c r="H424" s="19"/>
    </row>
    <row r="425" spans="8:8">
      <c r="H425" s="19"/>
    </row>
    <row r="426" spans="8:8">
      <c r="H426" s="19"/>
    </row>
    <row r="427" spans="8:8">
      <c r="H427" s="19"/>
    </row>
    <row r="428" spans="8:8">
      <c r="H428" s="19"/>
    </row>
    <row r="429" spans="8:8">
      <c r="H429" s="19"/>
    </row>
    <row r="430" spans="8:8">
      <c r="H430" s="19"/>
    </row>
    <row r="431" spans="8:8">
      <c r="H431" s="19"/>
    </row>
    <row r="432" spans="8:8">
      <c r="H432" s="19"/>
    </row>
    <row r="433" spans="8:8">
      <c r="H433" s="19"/>
    </row>
    <row r="434" spans="8:8">
      <c r="H434" s="19"/>
    </row>
    <row r="435" spans="8:8">
      <c r="H435" s="19"/>
    </row>
    <row r="436" spans="8:8">
      <c r="H436" s="19"/>
    </row>
    <row r="437" spans="8:8">
      <c r="H437" s="19"/>
    </row>
    <row r="438" spans="8:8">
      <c r="H438" s="19"/>
    </row>
    <row r="439" spans="8:8">
      <c r="H439" s="19"/>
    </row>
    <row r="440" spans="8:8">
      <c r="H440" s="19"/>
    </row>
    <row r="441" spans="8:8">
      <c r="H441" s="19"/>
    </row>
    <row r="442" spans="8:8">
      <c r="H442" s="19"/>
    </row>
    <row r="443" spans="8:8">
      <c r="H443" s="19"/>
    </row>
    <row r="444" spans="8:8">
      <c r="H444" s="19"/>
    </row>
    <row r="445" spans="8:8">
      <c r="H445" s="19"/>
    </row>
    <row r="446" spans="8:8">
      <c r="H446" s="19"/>
    </row>
    <row r="447" spans="8:8">
      <c r="H447" s="19"/>
    </row>
    <row r="448" spans="8:8">
      <c r="H448" s="19"/>
    </row>
    <row r="449" spans="8:8">
      <c r="H449" s="19"/>
    </row>
    <row r="450" spans="8:8">
      <c r="H450" s="19"/>
    </row>
    <row r="451" spans="8:8">
      <c r="H451" s="19"/>
    </row>
    <row r="452" spans="8:8">
      <c r="H452" s="19"/>
    </row>
    <row r="453" spans="8:8">
      <c r="H453" s="19"/>
    </row>
    <row r="454" spans="8:8">
      <c r="H454" s="19"/>
    </row>
    <row r="455" spans="8:8">
      <c r="H455" s="19"/>
    </row>
    <row r="456" spans="8:8">
      <c r="H456" s="19"/>
    </row>
    <row r="457" spans="8:8">
      <c r="H457" s="19"/>
    </row>
    <row r="458" spans="8:8">
      <c r="H458" s="19"/>
    </row>
    <row r="459" spans="8:8">
      <c r="H459" s="19"/>
    </row>
    <row r="460" spans="8:8">
      <c r="H460" s="19"/>
    </row>
    <row r="461" spans="8:8">
      <c r="H461" s="19"/>
    </row>
    <row r="462" spans="8:8">
      <c r="H462" s="19"/>
    </row>
    <row r="463" spans="8:8">
      <c r="H463" s="19"/>
    </row>
    <row r="464" spans="8:8">
      <c r="H464" s="19"/>
    </row>
    <row r="465" spans="8:8">
      <c r="H465" s="19"/>
    </row>
    <row r="466" spans="8:8">
      <c r="H466" s="19"/>
    </row>
    <row r="467" spans="8:8">
      <c r="H467" s="19"/>
    </row>
    <row r="468" spans="8:8">
      <c r="H468" s="19"/>
    </row>
    <row r="469" spans="8:8">
      <c r="H469" s="19"/>
    </row>
    <row r="470" spans="8:8">
      <c r="H470" s="19"/>
    </row>
    <row r="471" spans="8:8">
      <c r="H471" s="19"/>
    </row>
    <row r="472" spans="8:8">
      <c r="H472" s="19"/>
    </row>
    <row r="473" spans="8:8">
      <c r="H473" s="19"/>
    </row>
    <row r="474" spans="8:8">
      <c r="H474" s="19"/>
    </row>
    <row r="475" spans="8:8">
      <c r="H475" s="19"/>
    </row>
    <row r="476" spans="8:8">
      <c r="H476" s="19"/>
    </row>
    <row r="477" spans="8:8">
      <c r="H477" s="19"/>
    </row>
    <row r="478" spans="8:8">
      <c r="H478" s="19"/>
    </row>
    <row r="479" spans="8:8">
      <c r="H479" s="19"/>
    </row>
    <row r="480" spans="8:8">
      <c r="H480" s="19"/>
    </row>
    <row r="481" spans="8:8">
      <c r="H481" s="19"/>
    </row>
    <row r="482" spans="8:8">
      <c r="H482" s="19"/>
    </row>
    <row r="483" spans="8:8">
      <c r="H483" s="19"/>
    </row>
    <row r="484" spans="8:8">
      <c r="H484" s="19"/>
    </row>
    <row r="485" spans="8:8">
      <c r="H485" s="19"/>
    </row>
    <row r="486" spans="8:8">
      <c r="H486" s="19"/>
    </row>
    <row r="487" spans="8:8">
      <c r="H487" s="19"/>
    </row>
    <row r="488" spans="8:8">
      <c r="H488" s="19"/>
    </row>
    <row r="489" spans="8:8">
      <c r="H489" s="19"/>
    </row>
    <row r="490" spans="8:8">
      <c r="H490" s="19"/>
    </row>
    <row r="491" spans="8:8">
      <c r="H491" s="19"/>
    </row>
    <row r="492" spans="8:8">
      <c r="H492" s="19"/>
    </row>
    <row r="493" spans="8:8">
      <c r="H493" s="19"/>
    </row>
    <row r="494" spans="8:8">
      <c r="H494" s="19"/>
    </row>
    <row r="495" spans="8:8">
      <c r="H495" s="19"/>
    </row>
    <row r="496" spans="8:8">
      <c r="H496" s="19"/>
    </row>
    <row r="497" spans="8:8">
      <c r="H497" s="19"/>
    </row>
    <row r="498" spans="8:8">
      <c r="H498" s="19"/>
    </row>
    <row r="499" spans="8:8">
      <c r="H499" s="19"/>
    </row>
    <row r="500" spans="8:8">
      <c r="H500" s="19"/>
    </row>
    <row r="501" spans="8:8">
      <c r="H501" s="19"/>
    </row>
    <row r="502" spans="8:8">
      <c r="H502" s="19"/>
    </row>
    <row r="503" spans="8:8">
      <c r="H503" s="19"/>
    </row>
    <row r="504" spans="8:8">
      <c r="H504" s="19"/>
    </row>
    <row r="505" spans="8:8">
      <c r="H505" s="19"/>
    </row>
    <row r="506" spans="8:8">
      <c r="H506" s="19"/>
    </row>
    <row r="507" spans="8:8">
      <c r="H507" s="19"/>
    </row>
    <row r="508" spans="8:8">
      <c r="H508" s="19"/>
    </row>
    <row r="509" spans="8:8">
      <c r="H509" s="19"/>
    </row>
    <row r="510" spans="8:8">
      <c r="H510" s="19"/>
    </row>
    <row r="511" spans="8:8">
      <c r="H511" s="19"/>
    </row>
    <row r="512" spans="8:8">
      <c r="H512" s="19"/>
    </row>
    <row r="513" spans="8:8">
      <c r="H513" s="19"/>
    </row>
    <row r="514" spans="8:8">
      <c r="H514" s="19"/>
    </row>
    <row r="515" spans="8:8">
      <c r="H515" s="19"/>
    </row>
    <row r="516" spans="8:8">
      <c r="H516" s="19"/>
    </row>
    <row r="517" spans="8:8">
      <c r="H517" s="19"/>
    </row>
    <row r="518" spans="8:8">
      <c r="H518" s="19"/>
    </row>
    <row r="519" spans="8:8">
      <c r="H519" s="19"/>
    </row>
    <row r="520" spans="8:8">
      <c r="H520" s="19"/>
    </row>
    <row r="521" spans="8:8">
      <c r="H521" s="19"/>
    </row>
    <row r="522" spans="8:8">
      <c r="H522" s="19"/>
    </row>
    <row r="523" spans="8:8">
      <c r="H523" s="19"/>
    </row>
    <row r="524" spans="8:8">
      <c r="H524" s="19"/>
    </row>
    <row r="525" spans="8:8">
      <c r="H525" s="19"/>
    </row>
    <row r="526" spans="8:8">
      <c r="H526" s="19"/>
    </row>
    <row r="527" spans="8:8">
      <c r="H527" s="19"/>
    </row>
    <row r="528" spans="8:8">
      <c r="H528" s="19"/>
    </row>
    <row r="529" spans="8:8">
      <c r="H529" s="19"/>
    </row>
    <row r="530" spans="8:8">
      <c r="H530" s="19"/>
    </row>
    <row r="531" spans="8:8">
      <c r="H531" s="19"/>
    </row>
    <row r="532" spans="8:8">
      <c r="H532" s="19"/>
    </row>
    <row r="533" spans="8:8">
      <c r="H533" s="19"/>
    </row>
    <row r="534" spans="8:8">
      <c r="H534" s="19"/>
    </row>
    <row r="535" spans="8:8">
      <c r="H535" s="19"/>
    </row>
    <row r="536" spans="8:8">
      <c r="H536" s="19"/>
    </row>
    <row r="537" spans="8:8">
      <c r="H537" s="19"/>
    </row>
    <row r="538" spans="8:8">
      <c r="H538" s="19"/>
    </row>
    <row r="539" spans="8:8">
      <c r="H539" s="19"/>
    </row>
    <row r="540" spans="8:8">
      <c r="H540" s="19"/>
    </row>
    <row r="541" spans="8:8">
      <c r="H541" s="19"/>
    </row>
    <row r="542" spans="8:8">
      <c r="H542" s="19"/>
    </row>
    <row r="543" spans="8:8">
      <c r="H543" s="19"/>
    </row>
    <row r="544" spans="8:8">
      <c r="H544" s="19"/>
    </row>
    <row r="545" spans="8:8">
      <c r="H545" s="19"/>
    </row>
    <row r="546" spans="8:8">
      <c r="H546" s="19"/>
    </row>
    <row r="547" spans="8:8">
      <c r="H547" s="19"/>
    </row>
    <row r="548" spans="8:8">
      <c r="H548" s="19"/>
    </row>
    <row r="549" spans="8:8">
      <c r="H549" s="19"/>
    </row>
    <row r="550" spans="8:8">
      <c r="H550" s="19"/>
    </row>
    <row r="551" spans="8:8">
      <c r="H551" s="19"/>
    </row>
    <row r="552" spans="8:8">
      <c r="H552" s="19"/>
    </row>
    <row r="553" spans="8:8">
      <c r="H553" s="19"/>
    </row>
    <row r="554" spans="8:8">
      <c r="H554" s="19"/>
    </row>
    <row r="555" spans="8:8">
      <c r="H555" s="19"/>
    </row>
    <row r="556" spans="8:8">
      <c r="H556" s="19"/>
    </row>
    <row r="557" spans="8:8">
      <c r="H557" s="19"/>
    </row>
    <row r="558" spans="8:8">
      <c r="H558" s="19"/>
    </row>
    <row r="559" spans="8:8">
      <c r="H559" s="19"/>
    </row>
    <row r="560" spans="8:8">
      <c r="H560" s="19"/>
    </row>
    <row r="561" spans="8:8">
      <c r="H561" s="19"/>
    </row>
    <row r="562" spans="8:8">
      <c r="H562" s="19"/>
    </row>
    <row r="563" spans="8:8">
      <c r="H563" s="19"/>
    </row>
    <row r="564" spans="8:8">
      <c r="H564" s="19"/>
    </row>
    <row r="565" spans="8:8">
      <c r="H565" s="19"/>
    </row>
    <row r="566" spans="8:8">
      <c r="H566" s="19"/>
    </row>
    <row r="567" spans="8:8">
      <c r="H567" s="19"/>
    </row>
    <row r="568" spans="8:8">
      <c r="H568" s="19"/>
    </row>
    <row r="569" spans="8:8">
      <c r="H569" s="19"/>
    </row>
    <row r="570" spans="8:8">
      <c r="H570" s="19"/>
    </row>
    <row r="571" spans="8:8">
      <c r="H571" s="19"/>
    </row>
    <row r="572" spans="8:8">
      <c r="H572" s="19"/>
    </row>
    <row r="573" spans="8:8">
      <c r="H573" s="19"/>
    </row>
    <row r="574" spans="8:8">
      <c r="H574" s="19"/>
    </row>
    <row r="575" spans="8:8">
      <c r="H575" s="19"/>
    </row>
    <row r="576" spans="8:8">
      <c r="H576" s="19"/>
    </row>
    <row r="577" spans="8:8">
      <c r="H577" s="19"/>
    </row>
    <row r="578" spans="8:8">
      <c r="H578" s="19"/>
    </row>
    <row r="579" spans="8:8">
      <c r="H579" s="19"/>
    </row>
    <row r="580" spans="8:8">
      <c r="H580" s="19"/>
    </row>
    <row r="581" spans="8:8">
      <c r="H581" s="19"/>
    </row>
    <row r="582" spans="8:8">
      <c r="H582" s="19"/>
    </row>
    <row r="583" spans="8:8">
      <c r="H583" s="19"/>
    </row>
    <row r="584" spans="8:8">
      <c r="H584" s="19"/>
    </row>
    <row r="585" spans="8:8">
      <c r="H585" s="19"/>
    </row>
    <row r="586" spans="8:8">
      <c r="H586" s="19"/>
    </row>
    <row r="587" spans="8:8">
      <c r="H587" s="19"/>
    </row>
    <row r="588" spans="8:8">
      <c r="H588" s="19"/>
    </row>
    <row r="589" spans="8:8">
      <c r="H589" s="19"/>
    </row>
    <row r="590" spans="8:8">
      <c r="H590" s="19"/>
    </row>
    <row r="591" spans="8:8">
      <c r="H591" s="19"/>
    </row>
    <row r="592" spans="8:8">
      <c r="H592" s="19"/>
    </row>
    <row r="593" spans="8:8">
      <c r="H593" s="19"/>
    </row>
    <row r="594" spans="8:8">
      <c r="H594" s="19"/>
    </row>
    <row r="595" spans="8:8">
      <c r="H595" s="19"/>
    </row>
    <row r="596" spans="8:8">
      <c r="H596" s="19"/>
    </row>
    <row r="597" spans="8:8">
      <c r="H597" s="19"/>
    </row>
    <row r="598" spans="8:8">
      <c r="H598" s="19"/>
    </row>
    <row r="599" spans="8:8">
      <c r="H599" s="19"/>
    </row>
    <row r="600" spans="8:8">
      <c r="H600" s="19"/>
    </row>
    <row r="601" spans="8:8">
      <c r="H601" s="19"/>
    </row>
    <row r="602" spans="8:8">
      <c r="H602" s="19"/>
    </row>
    <row r="603" spans="8:8">
      <c r="H603" s="19"/>
    </row>
    <row r="604" spans="8:8">
      <c r="H604" s="19"/>
    </row>
    <row r="605" spans="8:8">
      <c r="H605" s="19"/>
    </row>
    <row r="606" spans="8:8">
      <c r="H606" s="19"/>
    </row>
    <row r="607" spans="8:8">
      <c r="H607" s="19"/>
    </row>
    <row r="608" spans="8:8">
      <c r="H608" s="19"/>
    </row>
    <row r="609" spans="8:8">
      <c r="H609" s="19"/>
    </row>
    <row r="610" spans="8:8">
      <c r="H610" s="19"/>
    </row>
    <row r="611" spans="8:8">
      <c r="H611" s="19"/>
    </row>
    <row r="612" spans="8:8">
      <c r="H612" s="19"/>
    </row>
    <row r="613" spans="8:8">
      <c r="H613" s="19"/>
    </row>
    <row r="614" spans="8:8">
      <c r="H614" s="19"/>
    </row>
    <row r="615" spans="8:8">
      <c r="H615" s="19"/>
    </row>
    <row r="616" spans="8:8">
      <c r="H616" s="19"/>
    </row>
    <row r="617" spans="8:8">
      <c r="H617" s="19"/>
    </row>
    <row r="618" spans="8:8">
      <c r="H618" s="19"/>
    </row>
    <row r="619" spans="8:8">
      <c r="H619" s="19"/>
    </row>
    <row r="620" spans="8:8">
      <c r="H620" s="19"/>
    </row>
    <row r="621" spans="8:8">
      <c r="H621" s="19"/>
    </row>
    <row r="622" spans="8:8">
      <c r="H622" s="19"/>
    </row>
    <row r="623" spans="8:8">
      <c r="H623" s="19"/>
    </row>
    <row r="624" spans="8:8">
      <c r="H624" s="19"/>
    </row>
    <row r="625" spans="8:8">
      <c r="H625" s="19"/>
    </row>
    <row r="626" spans="8:8">
      <c r="H626" s="19"/>
    </row>
    <row r="627" spans="8:8">
      <c r="H627" s="19"/>
    </row>
    <row r="628" spans="8:8">
      <c r="H628" s="19"/>
    </row>
    <row r="629" spans="8:8">
      <c r="H629" s="19"/>
    </row>
    <row r="630" spans="8:8">
      <c r="H630" s="19"/>
    </row>
    <row r="631" spans="8:8">
      <c r="H631" s="19"/>
    </row>
    <row r="632" spans="8:8">
      <c r="H632" s="19"/>
    </row>
    <row r="633" spans="8:8">
      <c r="H633" s="19"/>
    </row>
    <row r="634" spans="8:8">
      <c r="H634" s="19"/>
    </row>
    <row r="635" spans="8:8">
      <c r="H635" s="19"/>
    </row>
    <row r="636" spans="8:8">
      <c r="H636" s="19"/>
    </row>
    <row r="637" spans="8:8">
      <c r="H637" s="19"/>
    </row>
    <row r="638" spans="8:8">
      <c r="H638" s="19"/>
    </row>
    <row r="639" spans="8:8">
      <c r="H639" s="19"/>
    </row>
    <row r="640" spans="8:8">
      <c r="H640" s="19"/>
    </row>
    <row r="641" spans="8:8">
      <c r="H641" s="19"/>
    </row>
    <row r="642" spans="8:8">
      <c r="H642" s="19"/>
    </row>
    <row r="643" spans="8:8">
      <c r="H643" s="19"/>
    </row>
    <row r="644" spans="8:8">
      <c r="H644" s="19"/>
    </row>
    <row r="645" spans="8:8">
      <c r="H645" s="19"/>
    </row>
    <row r="646" spans="8:8">
      <c r="H646" s="19"/>
    </row>
    <row r="647" spans="8:8">
      <c r="H647" s="19"/>
    </row>
    <row r="648" spans="8:8">
      <c r="H648" s="19"/>
    </row>
    <row r="649" spans="8:8">
      <c r="H649" s="19"/>
    </row>
    <row r="650" spans="8:8">
      <c r="H650" s="19"/>
    </row>
    <row r="651" spans="8:8">
      <c r="H651" s="19"/>
    </row>
    <row r="652" spans="8:8">
      <c r="H652" s="19"/>
    </row>
    <row r="653" spans="8:8">
      <c r="H653" s="19"/>
    </row>
    <row r="654" spans="8:8">
      <c r="H654" s="19"/>
    </row>
    <row r="655" spans="8:8">
      <c r="H655" s="19"/>
    </row>
    <row r="656" spans="8:8">
      <c r="H656" s="19"/>
    </row>
    <row r="657" spans="8:8">
      <c r="H657" s="19"/>
    </row>
    <row r="658" spans="8:8">
      <c r="H658" s="19"/>
    </row>
    <row r="659" spans="8:8">
      <c r="H659" s="19"/>
    </row>
    <row r="660" spans="8:8">
      <c r="H660" s="19"/>
    </row>
    <row r="661" spans="8:8">
      <c r="H661" s="19"/>
    </row>
    <row r="662" spans="8:8">
      <c r="H662" s="19"/>
    </row>
    <row r="663" spans="8:8">
      <c r="H663" s="19"/>
    </row>
    <row r="664" spans="8:8">
      <c r="H664" s="19"/>
    </row>
    <row r="665" spans="8:8">
      <c r="H665" s="19"/>
    </row>
    <row r="666" spans="8:8">
      <c r="H666" s="19"/>
    </row>
    <row r="667" spans="8:8">
      <c r="H667" s="19"/>
    </row>
    <row r="668" spans="8:8">
      <c r="H668" s="19"/>
    </row>
    <row r="669" spans="8:8">
      <c r="H669" s="19"/>
    </row>
    <row r="670" spans="8:8">
      <c r="H670" s="19"/>
    </row>
    <row r="671" spans="8:8">
      <c r="H671" s="19"/>
    </row>
    <row r="672" spans="8:8">
      <c r="H672" s="19"/>
    </row>
    <row r="673" spans="8:8">
      <c r="H673" s="19"/>
    </row>
    <row r="674" spans="8:8">
      <c r="H674" s="19"/>
    </row>
    <row r="675" spans="8:8">
      <c r="H675" s="19"/>
    </row>
    <row r="676" spans="8:8">
      <c r="H676" s="19"/>
    </row>
    <row r="677" spans="8:8">
      <c r="H677" s="19"/>
    </row>
    <row r="678" spans="8:8">
      <c r="H678" s="19"/>
    </row>
    <row r="679" spans="8:8">
      <c r="H679" s="19"/>
    </row>
    <row r="680" spans="8:8">
      <c r="H680" s="19"/>
    </row>
    <row r="681" spans="8:8">
      <c r="H681" s="19"/>
    </row>
    <row r="682" spans="8:8">
      <c r="H682" s="19"/>
    </row>
    <row r="683" spans="8:8">
      <c r="H683" s="19"/>
    </row>
    <row r="684" spans="8:8">
      <c r="H684" s="19"/>
    </row>
    <row r="685" spans="8:8">
      <c r="H685" s="19"/>
    </row>
    <row r="686" spans="8:8">
      <c r="H686" s="19"/>
    </row>
    <row r="687" spans="8:8">
      <c r="H687" s="19"/>
    </row>
    <row r="688" spans="8:8">
      <c r="H688" s="19"/>
    </row>
    <row r="689" spans="8:8">
      <c r="H689" s="19"/>
    </row>
    <row r="690" spans="8:8">
      <c r="H690" s="19"/>
    </row>
    <row r="691" spans="8:8">
      <c r="H691" s="19"/>
    </row>
    <row r="692" spans="8:8">
      <c r="H692" s="19"/>
    </row>
    <row r="693" spans="8:8">
      <c r="H693" s="19"/>
    </row>
    <row r="694" spans="8:8">
      <c r="H694" s="19"/>
    </row>
    <row r="695" spans="8:8">
      <c r="H695" s="19"/>
    </row>
    <row r="696" spans="8:8">
      <c r="H696" s="19"/>
    </row>
    <row r="697" spans="8:8">
      <c r="H697" s="19"/>
    </row>
    <row r="698" spans="8:8">
      <c r="H698" s="19"/>
    </row>
    <row r="699" spans="8:8">
      <c r="H699" s="19"/>
    </row>
    <row r="700" spans="8:8">
      <c r="H700" s="19"/>
    </row>
    <row r="701" spans="8:8">
      <c r="H701" s="19"/>
    </row>
    <row r="702" spans="8:8">
      <c r="H702" s="19"/>
    </row>
    <row r="703" spans="8:8">
      <c r="H703" s="19"/>
    </row>
    <row r="704" spans="8:8">
      <c r="H704" s="19"/>
    </row>
    <row r="705" spans="8:8">
      <c r="H705" s="19"/>
    </row>
    <row r="706" spans="8:8">
      <c r="H706" s="19"/>
    </row>
    <row r="707" spans="8:8">
      <c r="H707" s="19"/>
    </row>
    <row r="708" spans="8:8">
      <c r="H708" s="19"/>
    </row>
    <row r="709" spans="8:8">
      <c r="H709" s="19"/>
    </row>
    <row r="710" spans="8:8">
      <c r="H710" s="19"/>
    </row>
    <row r="711" spans="8:8">
      <c r="H711" s="19"/>
    </row>
    <row r="712" spans="8:8">
      <c r="H712" s="19"/>
    </row>
    <row r="713" spans="8:8">
      <c r="H713" s="19"/>
    </row>
    <row r="714" spans="8:8">
      <c r="H714" s="19"/>
    </row>
    <row r="715" spans="8:8">
      <c r="H715" s="19"/>
    </row>
    <row r="716" spans="8:8">
      <c r="H716" s="19"/>
    </row>
    <row r="717" spans="8:8">
      <c r="H717" s="19"/>
    </row>
    <row r="718" spans="8:8">
      <c r="H718" s="19"/>
    </row>
    <row r="719" spans="8:8">
      <c r="H719" s="19"/>
    </row>
    <row r="720" spans="8:8">
      <c r="H720" s="19"/>
    </row>
    <row r="721" spans="8:8">
      <c r="H721" s="19"/>
    </row>
    <row r="722" spans="8:8">
      <c r="H722" s="19"/>
    </row>
    <row r="723" spans="8:8">
      <c r="H723" s="19"/>
    </row>
    <row r="724" spans="8:8">
      <c r="H724" s="19"/>
    </row>
    <row r="725" spans="8:8">
      <c r="H725" s="19"/>
    </row>
    <row r="726" spans="8:8">
      <c r="H726" s="19"/>
    </row>
    <row r="727" spans="8:8">
      <c r="H727" s="19"/>
    </row>
    <row r="728" spans="8:8">
      <c r="H728" s="19"/>
    </row>
    <row r="729" spans="8:8">
      <c r="H729" s="19"/>
    </row>
    <row r="730" spans="8:8">
      <c r="H730" s="19"/>
    </row>
    <row r="731" spans="8:8">
      <c r="H731" s="19"/>
    </row>
    <row r="732" spans="8:8">
      <c r="H732" s="19"/>
    </row>
    <row r="733" spans="8:8">
      <c r="H733" s="19"/>
    </row>
    <row r="734" spans="8:8">
      <c r="H734" s="19"/>
    </row>
    <row r="735" spans="8:8">
      <c r="H735" s="19"/>
    </row>
    <row r="736" spans="8:8">
      <c r="H736" s="19"/>
    </row>
    <row r="737" spans="8:8">
      <c r="H737" s="19"/>
    </row>
    <row r="738" spans="8:8">
      <c r="H738" s="19"/>
    </row>
    <row r="739" spans="8:8">
      <c r="H739" s="19"/>
    </row>
    <row r="740" spans="8:8">
      <c r="H740" s="19"/>
    </row>
    <row r="741" spans="8:8">
      <c r="H741" s="19"/>
    </row>
    <row r="742" spans="8:8">
      <c r="H742" s="19"/>
    </row>
    <row r="743" spans="8:8">
      <c r="H743" s="19"/>
    </row>
    <row r="744" spans="8:8">
      <c r="H744" s="19"/>
    </row>
    <row r="745" spans="8:8">
      <c r="H745" s="19"/>
    </row>
    <row r="746" spans="8:8">
      <c r="H746" s="19"/>
    </row>
    <row r="747" spans="8:8">
      <c r="H747" s="19"/>
    </row>
    <row r="748" spans="8:8">
      <c r="H748" s="19"/>
    </row>
    <row r="749" spans="8:8">
      <c r="H749" s="19"/>
    </row>
    <row r="750" spans="8:8">
      <c r="H750" s="19"/>
    </row>
    <row r="751" spans="8:8">
      <c r="H751" s="19"/>
    </row>
    <row r="752" spans="8:8">
      <c r="H752" s="19"/>
    </row>
    <row r="753" spans="8:8">
      <c r="H753" s="19"/>
    </row>
    <row r="754" spans="8:8">
      <c r="H754" s="19"/>
    </row>
    <row r="755" spans="8:8">
      <c r="H755" s="19"/>
    </row>
    <row r="756" spans="8:8">
      <c r="H756" s="19"/>
    </row>
    <row r="757" spans="8:8">
      <c r="H757" s="19"/>
    </row>
    <row r="758" spans="8:8">
      <c r="H758" s="19"/>
    </row>
    <row r="759" spans="8:8">
      <c r="H759" s="19"/>
    </row>
    <row r="760" spans="8:8">
      <c r="H760" s="19"/>
    </row>
    <row r="761" spans="8:8">
      <c r="H761" s="19"/>
    </row>
    <row r="762" spans="8:8">
      <c r="H762" s="19"/>
    </row>
    <row r="763" spans="8:8">
      <c r="H763" s="19"/>
    </row>
    <row r="764" spans="8:8">
      <c r="H764" s="19"/>
    </row>
    <row r="765" spans="8:8">
      <c r="H765" s="19"/>
    </row>
    <row r="766" spans="8:8">
      <c r="H766" s="19"/>
    </row>
    <row r="767" spans="8:8">
      <c r="H767" s="19"/>
    </row>
    <row r="768" spans="8:8">
      <c r="H768" s="19"/>
    </row>
    <row r="769" spans="8:8">
      <c r="H769" s="19"/>
    </row>
    <row r="770" spans="8:8">
      <c r="H770" s="19"/>
    </row>
    <row r="771" spans="8:8">
      <c r="H771" s="19"/>
    </row>
    <row r="772" spans="8:8">
      <c r="H772" s="19"/>
    </row>
    <row r="773" spans="8:8">
      <c r="H773" s="19"/>
    </row>
    <row r="774" spans="8:8">
      <c r="H774" s="19"/>
    </row>
    <row r="775" spans="8:8">
      <c r="H775" s="19"/>
    </row>
    <row r="776" spans="8:8">
      <c r="H776" s="19"/>
    </row>
    <row r="777" spans="8:8">
      <c r="H777" s="19"/>
    </row>
    <row r="778" spans="8:8">
      <c r="H778" s="19"/>
    </row>
    <row r="779" spans="8:8">
      <c r="H779" s="19"/>
    </row>
    <row r="780" spans="8:8">
      <c r="H780" s="19"/>
    </row>
    <row r="781" spans="8:8">
      <c r="H781" s="19"/>
    </row>
    <row r="782" spans="8:8">
      <c r="H782" s="19"/>
    </row>
    <row r="783" spans="8:8">
      <c r="H783" s="19"/>
    </row>
    <row r="784" spans="8:8">
      <c r="H784" s="19"/>
    </row>
    <row r="785" spans="8:8">
      <c r="H785" s="19"/>
    </row>
    <row r="786" spans="8:8">
      <c r="H786" s="19"/>
    </row>
    <row r="787" spans="8:8">
      <c r="H787" s="19"/>
    </row>
    <row r="788" spans="8:8">
      <c r="H788" s="19"/>
    </row>
    <row r="789" spans="8:8">
      <c r="H789" s="19"/>
    </row>
    <row r="790" spans="8:8">
      <c r="H790" s="19"/>
    </row>
    <row r="791" spans="8:8">
      <c r="H791" s="19"/>
    </row>
    <row r="792" spans="8:8">
      <c r="H792" s="19"/>
    </row>
    <row r="793" spans="8:8">
      <c r="H793" s="19"/>
    </row>
    <row r="794" spans="8:8">
      <c r="H794" s="19"/>
    </row>
    <row r="795" spans="8:8">
      <c r="H795" s="19"/>
    </row>
    <row r="796" spans="8:8">
      <c r="H796" s="19"/>
    </row>
    <row r="797" spans="8:8">
      <c r="H797" s="19"/>
    </row>
    <row r="798" spans="8:8">
      <c r="H798" s="19"/>
    </row>
    <row r="799" spans="8:8">
      <c r="H799" s="19"/>
    </row>
    <row r="800" spans="8:8">
      <c r="H800" s="19"/>
    </row>
    <row r="801" spans="8:8">
      <c r="H801" s="19"/>
    </row>
    <row r="802" spans="8:8">
      <c r="H802" s="19"/>
    </row>
    <row r="803" spans="8:8">
      <c r="H803" s="19"/>
    </row>
    <row r="804" spans="8:8">
      <c r="H804" s="19"/>
    </row>
    <row r="805" spans="8:8">
      <c r="H805" s="19"/>
    </row>
    <row r="806" spans="8:8">
      <c r="H806" s="19"/>
    </row>
    <row r="807" spans="8:8">
      <c r="H807" s="19"/>
    </row>
    <row r="808" spans="8:8">
      <c r="H808" s="19"/>
    </row>
    <row r="809" spans="8:8">
      <c r="H809" s="19"/>
    </row>
    <row r="810" spans="8:8">
      <c r="H810" s="19"/>
    </row>
    <row r="811" spans="8:8">
      <c r="H811" s="19"/>
    </row>
    <row r="812" spans="8:8">
      <c r="H812" s="19"/>
    </row>
    <row r="813" spans="8:8">
      <c r="H813" s="19"/>
    </row>
    <row r="814" spans="8:8">
      <c r="H814" s="19"/>
    </row>
    <row r="815" spans="8:8">
      <c r="H815" s="19"/>
    </row>
    <row r="816" spans="8:8">
      <c r="H816" s="19"/>
    </row>
    <row r="817" spans="8:8">
      <c r="H817" s="19"/>
    </row>
    <row r="818" spans="8:8">
      <c r="H818" s="19"/>
    </row>
    <row r="819" spans="8:8">
      <c r="H819" s="19"/>
    </row>
    <row r="820" spans="8:8">
      <c r="H820" s="19"/>
    </row>
    <row r="821" spans="8:8">
      <c r="H821" s="19"/>
    </row>
    <row r="822" spans="8:8">
      <c r="H822" s="19"/>
    </row>
    <row r="823" spans="8:8">
      <c r="H823" s="19"/>
    </row>
    <row r="824" spans="8:8">
      <c r="H824" s="19"/>
    </row>
    <row r="825" spans="8:8">
      <c r="H825" s="19"/>
    </row>
    <row r="826" spans="8:8">
      <c r="H826" s="19"/>
    </row>
    <row r="827" spans="8:8">
      <c r="H827" s="19"/>
    </row>
    <row r="828" spans="8:8">
      <c r="H828" s="19"/>
    </row>
    <row r="829" spans="8:8">
      <c r="H829" s="19"/>
    </row>
    <row r="830" spans="8:8">
      <c r="H830" s="19"/>
    </row>
    <row r="831" spans="8:8">
      <c r="H831" s="19"/>
    </row>
    <row r="832" spans="8:8">
      <c r="H832" s="19"/>
    </row>
    <row r="833" spans="8:8">
      <c r="H833" s="19"/>
    </row>
    <row r="834" spans="8:8">
      <c r="H834" s="19"/>
    </row>
    <row r="835" spans="8:8">
      <c r="H835" s="19"/>
    </row>
    <row r="836" spans="8:8">
      <c r="H836" s="19"/>
    </row>
    <row r="837" spans="8:8">
      <c r="H837" s="19"/>
    </row>
    <row r="838" spans="8:8">
      <c r="H838" s="19"/>
    </row>
    <row r="839" spans="8:8">
      <c r="H839" s="19"/>
    </row>
    <row r="840" spans="8:8">
      <c r="H840" s="19"/>
    </row>
    <row r="841" spans="8:8">
      <c r="H841" s="19"/>
    </row>
    <row r="842" spans="8:8">
      <c r="H842" s="19"/>
    </row>
    <row r="843" spans="8:8">
      <c r="H843" s="19"/>
    </row>
    <row r="844" spans="8:8">
      <c r="H844" s="19"/>
    </row>
    <row r="845" spans="8:8">
      <c r="H845" s="19"/>
    </row>
    <row r="846" spans="8:8">
      <c r="H846" s="19"/>
    </row>
    <row r="847" spans="8:8">
      <c r="H847" s="19"/>
    </row>
    <row r="848" spans="8:8">
      <c r="H848" s="19"/>
    </row>
    <row r="849" spans="8:8">
      <c r="H849" s="19"/>
    </row>
    <row r="850" spans="8:8">
      <c r="H850" s="19"/>
    </row>
    <row r="851" spans="8:8">
      <c r="H851" s="19"/>
    </row>
    <row r="852" spans="8:8">
      <c r="H852" s="19"/>
    </row>
    <row r="853" spans="8:8">
      <c r="H853" s="19"/>
    </row>
    <row r="854" spans="8:8">
      <c r="H854" s="19"/>
    </row>
    <row r="855" spans="8:8">
      <c r="H855" s="19"/>
    </row>
    <row r="856" spans="8:8">
      <c r="H856" s="19"/>
    </row>
    <row r="857" spans="8:8">
      <c r="H857" s="19"/>
    </row>
    <row r="858" spans="8:8">
      <c r="H858" s="19"/>
    </row>
    <row r="859" spans="8:8">
      <c r="H859" s="19"/>
    </row>
    <row r="860" spans="8:8">
      <c r="H860" s="19"/>
    </row>
    <row r="861" spans="8:8">
      <c r="H861" s="19"/>
    </row>
    <row r="862" spans="8:8">
      <c r="H862" s="19"/>
    </row>
    <row r="863" spans="8:8">
      <c r="H863" s="19"/>
    </row>
    <row r="864" spans="8:8">
      <c r="H864" s="19"/>
    </row>
    <row r="865" spans="8:8">
      <c r="H865" s="19"/>
    </row>
    <row r="866" spans="8:8">
      <c r="H866" s="19"/>
    </row>
    <row r="867" spans="8:8">
      <c r="H867" s="19"/>
    </row>
    <row r="868" spans="8:8">
      <c r="H868" s="19"/>
    </row>
    <row r="869" spans="8:8">
      <c r="H869" s="19"/>
    </row>
    <row r="870" spans="8:8">
      <c r="H870" s="19"/>
    </row>
    <row r="871" spans="8:8">
      <c r="H871" s="19"/>
    </row>
    <row r="872" spans="8:8">
      <c r="H872" s="19"/>
    </row>
    <row r="873" spans="8:8">
      <c r="H873" s="19"/>
    </row>
    <row r="874" spans="8:8">
      <c r="H874" s="19"/>
    </row>
    <row r="875" spans="8:8">
      <c r="H875" s="19"/>
    </row>
    <row r="876" spans="8:8">
      <c r="H876" s="19"/>
    </row>
    <row r="877" spans="8:8">
      <c r="H877" s="19"/>
    </row>
    <row r="878" spans="8:8">
      <c r="H878" s="19"/>
    </row>
    <row r="879" spans="8:8">
      <c r="H879" s="19"/>
    </row>
    <row r="880" spans="8:8">
      <c r="H880" s="19"/>
    </row>
    <row r="881" spans="8:8">
      <c r="H881" s="19"/>
    </row>
    <row r="882" spans="8:8">
      <c r="H882" s="19"/>
    </row>
    <row r="883" spans="8:8">
      <c r="H883" s="19"/>
    </row>
    <row r="884" spans="8:8">
      <c r="H884" s="19"/>
    </row>
    <row r="885" spans="8:8">
      <c r="H885" s="19"/>
    </row>
    <row r="886" spans="8:8">
      <c r="H886" s="19"/>
    </row>
    <row r="887" spans="8:8">
      <c r="H887" s="19"/>
    </row>
    <row r="888" spans="8:8">
      <c r="H888" s="19"/>
    </row>
    <row r="889" spans="8:8">
      <c r="H889" s="19"/>
    </row>
    <row r="890" spans="8:8">
      <c r="H890" s="19"/>
    </row>
    <row r="891" spans="8:8">
      <c r="H891" s="19"/>
    </row>
    <row r="892" spans="8:8">
      <c r="H892" s="19"/>
    </row>
    <row r="893" spans="8:8">
      <c r="H893" s="19"/>
    </row>
    <row r="894" spans="8:8">
      <c r="H894" s="19"/>
    </row>
    <row r="895" spans="8:8">
      <c r="H895" s="19"/>
    </row>
    <row r="896" spans="8:8">
      <c r="H896" s="19"/>
    </row>
    <row r="897" spans="8:8">
      <c r="H897" s="19"/>
    </row>
    <row r="898" spans="8:8">
      <c r="H898" s="19"/>
    </row>
    <row r="899" spans="8:8">
      <c r="H899" s="19"/>
    </row>
    <row r="900" spans="8:8">
      <c r="H900" s="19"/>
    </row>
    <row r="901" spans="8:8">
      <c r="H901" s="19"/>
    </row>
    <row r="902" spans="8:8">
      <c r="H902" s="19"/>
    </row>
    <row r="903" spans="8:8">
      <c r="H903" s="19"/>
    </row>
    <row r="904" spans="8:8">
      <c r="H904" s="19"/>
    </row>
    <row r="905" spans="8:8">
      <c r="H905" s="19"/>
    </row>
    <row r="906" spans="8:8">
      <c r="H906" s="19"/>
    </row>
    <row r="907" spans="8:8">
      <c r="H907" s="19"/>
    </row>
    <row r="908" spans="8:8">
      <c r="H908" s="19"/>
    </row>
    <row r="909" spans="8:8">
      <c r="H909" s="19"/>
    </row>
    <row r="910" spans="8:8">
      <c r="H910" s="19"/>
    </row>
    <row r="911" spans="8:8">
      <c r="H911" s="19"/>
    </row>
    <row r="912" spans="8:8">
      <c r="H912" s="19"/>
    </row>
    <row r="913" spans="8:8">
      <c r="H913" s="19"/>
    </row>
    <row r="914" spans="8:8">
      <c r="H914" s="19"/>
    </row>
    <row r="915" spans="8:8">
      <c r="H915" s="19"/>
    </row>
    <row r="916" spans="8:8">
      <c r="H916" s="19"/>
    </row>
    <row r="917" spans="8:8">
      <c r="H917" s="19"/>
    </row>
    <row r="918" spans="8:8">
      <c r="H918" s="19"/>
    </row>
    <row r="919" spans="8:8">
      <c r="H919" s="19"/>
    </row>
    <row r="920" spans="8:8">
      <c r="H920" s="19"/>
    </row>
    <row r="921" spans="8:8">
      <c r="H921" s="19"/>
    </row>
    <row r="922" spans="8:8">
      <c r="H922" s="19"/>
    </row>
    <row r="923" spans="8:8">
      <c r="H923" s="19"/>
    </row>
    <row r="924" spans="8:8">
      <c r="H924" s="19"/>
    </row>
    <row r="925" spans="8:8">
      <c r="H925" s="19"/>
    </row>
    <row r="926" spans="8:8">
      <c r="H926" s="19"/>
    </row>
    <row r="927" spans="8:8">
      <c r="H927" s="19"/>
    </row>
    <row r="928" spans="8:8">
      <c r="H928" s="19"/>
    </row>
    <row r="929" spans="8:8">
      <c r="H929" s="19"/>
    </row>
    <row r="930" spans="8:8">
      <c r="H930" s="19"/>
    </row>
    <row r="931" spans="8:8">
      <c r="H931" s="19"/>
    </row>
    <row r="932" spans="8:8">
      <c r="H932" s="19"/>
    </row>
    <row r="933" spans="8:8">
      <c r="H933" s="19"/>
    </row>
    <row r="934" spans="8:8">
      <c r="H934" s="19"/>
    </row>
    <row r="935" spans="8:8">
      <c r="H935" s="19"/>
    </row>
    <row r="936" spans="8:8">
      <c r="H936" s="19"/>
    </row>
    <row r="937" spans="8:8">
      <c r="H937" s="19"/>
    </row>
    <row r="938" spans="8:8">
      <c r="H938" s="19"/>
    </row>
    <row r="939" spans="8:8">
      <c r="H939" s="19"/>
    </row>
    <row r="940" spans="8:8">
      <c r="H940" s="19"/>
    </row>
    <row r="941" spans="8:8">
      <c r="H941" s="19"/>
    </row>
    <row r="942" spans="8:8">
      <c r="H942" s="19"/>
    </row>
    <row r="943" spans="8:8">
      <c r="H943" s="19"/>
    </row>
    <row r="944" spans="8:8">
      <c r="H944" s="19"/>
    </row>
    <row r="945" spans="8:8">
      <c r="H945" s="19"/>
    </row>
    <row r="946" spans="8:8">
      <c r="H946" s="19"/>
    </row>
    <row r="947" spans="8:8">
      <c r="H947" s="19"/>
    </row>
    <row r="948" spans="8:8">
      <c r="H948" s="19"/>
    </row>
    <row r="949" spans="8:8">
      <c r="H949" s="19"/>
    </row>
    <row r="950" spans="8:8">
      <c r="H950" s="19"/>
    </row>
    <row r="951" spans="8:8">
      <c r="H951" s="19"/>
    </row>
    <row r="952" spans="8:8">
      <c r="H952" s="19"/>
    </row>
    <row r="953" spans="8:8">
      <c r="H953" s="19"/>
    </row>
    <row r="954" spans="8:8">
      <c r="H954" s="19"/>
    </row>
    <row r="955" spans="8:8">
      <c r="H955" s="19"/>
    </row>
    <row r="956" spans="8:8">
      <c r="H956" s="19"/>
    </row>
    <row r="957" spans="8:8">
      <c r="H957" s="19"/>
    </row>
    <row r="958" spans="8:8">
      <c r="H958" s="19"/>
    </row>
    <row r="959" spans="8:8">
      <c r="H959" s="19"/>
    </row>
    <row r="960" spans="8:8">
      <c r="H960" s="19"/>
    </row>
    <row r="961" spans="8:8">
      <c r="H961" s="19"/>
    </row>
    <row r="962" spans="8:8">
      <c r="H962" s="19"/>
    </row>
    <row r="963" spans="8:8">
      <c r="H963" s="19"/>
    </row>
    <row r="964" spans="8:8">
      <c r="H964" s="19"/>
    </row>
    <row r="965" spans="8:8">
      <c r="H965" s="19"/>
    </row>
    <row r="966" spans="8:8">
      <c r="H966" s="19"/>
    </row>
    <row r="967" spans="8:8">
      <c r="H967" s="19"/>
    </row>
    <row r="968" spans="8:8">
      <c r="H968" s="19"/>
    </row>
    <row r="969" spans="8:8">
      <c r="H969" s="19"/>
    </row>
    <row r="970" spans="8:8">
      <c r="H970" s="19"/>
    </row>
    <row r="971" spans="8:8">
      <c r="H971" s="19"/>
    </row>
    <row r="972" spans="8:8">
      <c r="H972" s="19"/>
    </row>
    <row r="973" spans="8:8">
      <c r="H973" s="19"/>
    </row>
    <row r="974" spans="8:8">
      <c r="H974" s="19"/>
    </row>
    <row r="975" spans="8:8">
      <c r="H975" s="19"/>
    </row>
    <row r="976" spans="8:8">
      <c r="H976" s="19"/>
    </row>
    <row r="977" spans="8:8">
      <c r="H977" s="19"/>
    </row>
    <row r="978" spans="8:8">
      <c r="H978" s="19"/>
    </row>
    <row r="979" spans="8:8">
      <c r="H979" s="19"/>
    </row>
    <row r="980" spans="8:8">
      <c r="H980" s="19"/>
    </row>
    <row r="981" spans="8:8">
      <c r="H981" s="19"/>
    </row>
    <row r="982" spans="8:8">
      <c r="H982" s="19"/>
    </row>
    <row r="983" spans="8:8">
      <c r="H983" s="19"/>
    </row>
    <row r="984" spans="8:8">
      <c r="H984" s="19"/>
    </row>
    <row r="985" spans="8:8">
      <c r="H985" s="19"/>
    </row>
    <row r="986" spans="8:8">
      <c r="H986" s="19"/>
    </row>
    <row r="987" spans="8:8">
      <c r="H987" s="19"/>
    </row>
    <row r="988" spans="8:8">
      <c r="H988" s="19"/>
    </row>
    <row r="989" spans="8:8">
      <c r="H989" s="19"/>
    </row>
    <row r="990" spans="8:8">
      <c r="H990" s="19"/>
    </row>
    <row r="991" spans="8:8">
      <c r="H991" s="19"/>
    </row>
    <row r="992" spans="8:8">
      <c r="H992" s="19"/>
    </row>
    <row r="993" spans="8:8">
      <c r="H993" s="19"/>
    </row>
    <row r="994" spans="8:8">
      <c r="H994" s="19"/>
    </row>
    <row r="995" spans="8:8">
      <c r="H995" s="19"/>
    </row>
    <row r="996" spans="8:8">
      <c r="H996" s="19"/>
    </row>
    <row r="997" spans="8:8">
      <c r="H997" s="19"/>
    </row>
    <row r="998" spans="8:8">
      <c r="H998" s="19"/>
    </row>
    <row r="999" spans="8:8">
      <c r="H999" s="19"/>
    </row>
    <row r="1000" spans="8:8">
      <c r="H1000" s="19"/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9"/>
  <sheetViews>
    <sheetView zoomScale="70" zoomScaleNormal="70" workbookViewId="0">
      <selection activeCell="D12" sqref="D12"/>
    </sheetView>
  </sheetViews>
  <sheetFormatPr defaultRowHeight="16.5"/>
  <cols>
    <col min="1" max="1" width="4.125" style="19" customWidth="1"/>
    <col min="2" max="2" width="13.125" style="8" bestFit="1" customWidth="1"/>
    <col min="3" max="3" width="12.75" style="8" bestFit="1" customWidth="1"/>
    <col min="4" max="4" width="45" style="8" customWidth="1"/>
    <col min="5" max="5" width="22.375" style="8" bestFit="1" customWidth="1"/>
    <col min="7" max="9" width="25" style="8" customWidth="1"/>
    <col min="10" max="10" width="50" style="8" customWidth="1"/>
    <col min="11" max="13" width="10.625" style="8" customWidth="1"/>
    <col min="14" max="14" width="13.375" style="8" customWidth="1"/>
  </cols>
  <sheetData>
    <row r="1" spans="1:14" ht="33" customHeight="1">
      <c r="A1" s="20" t="s">
        <v>158</v>
      </c>
      <c r="B1" s="20" t="s">
        <v>4</v>
      </c>
      <c r="C1" s="20" t="s">
        <v>7</v>
      </c>
      <c r="D1" s="20" t="s">
        <v>3</v>
      </c>
      <c r="E1" s="20" t="s">
        <v>6</v>
      </c>
      <c r="F1" s="20" t="s">
        <v>9</v>
      </c>
      <c r="G1" s="20" t="s">
        <v>15</v>
      </c>
      <c r="H1" s="20" t="s">
        <v>16</v>
      </c>
      <c r="I1" s="20" t="s">
        <v>17</v>
      </c>
      <c r="J1" s="20" t="s">
        <v>18</v>
      </c>
      <c r="K1" s="20" t="s">
        <v>19</v>
      </c>
      <c r="L1" s="20" t="s">
        <v>20</v>
      </c>
      <c r="M1" s="20" t="s">
        <v>159</v>
      </c>
      <c r="N1" s="20" t="s">
        <v>160</v>
      </c>
    </row>
    <row r="2" spans="1:14">
      <c r="A2" s="35" t="str">
        <f t="shared" ref="A2:A17" si="0">B2&amp;"|"&amp;C2</f>
        <v>1|1</v>
      </c>
      <c r="B2" s="35" t="s">
        <v>41</v>
      </c>
      <c r="C2" s="3" t="s">
        <v>41</v>
      </c>
      <c r="D2" s="35" t="s">
        <v>38</v>
      </c>
      <c r="E2" s="35" t="s">
        <v>161</v>
      </c>
      <c r="F2" s="35" t="s">
        <v>162</v>
      </c>
      <c r="G2" s="34" t="s">
        <v>162</v>
      </c>
      <c r="H2" s="34" t="s">
        <v>162</v>
      </c>
      <c r="I2" s="34" t="s">
        <v>162</v>
      </c>
      <c r="J2" s="34" t="s">
        <v>162</v>
      </c>
      <c r="K2" s="34" t="s">
        <v>162</v>
      </c>
      <c r="L2" s="34" t="s">
        <v>162</v>
      </c>
      <c r="M2" s="34" t="s">
        <v>162</v>
      </c>
      <c r="N2" s="34" t="s">
        <v>163</v>
      </c>
    </row>
    <row r="3" spans="1:14">
      <c r="A3" s="35" t="str">
        <f t="shared" si="0"/>
        <v>Aa|1</v>
      </c>
      <c r="B3" s="35" t="s">
        <v>36</v>
      </c>
      <c r="C3" s="3" t="s">
        <v>41</v>
      </c>
      <c r="D3" s="35" t="s">
        <v>38</v>
      </c>
      <c r="E3" s="35" t="s">
        <v>161</v>
      </c>
      <c r="F3" s="35" t="s">
        <v>162</v>
      </c>
      <c r="G3" s="34" t="s">
        <v>162</v>
      </c>
      <c r="H3" s="34" t="s">
        <v>162</v>
      </c>
      <c r="I3" s="34" t="s">
        <v>162</v>
      </c>
      <c r="J3" s="34" t="s">
        <v>162</v>
      </c>
      <c r="K3" s="34" t="s">
        <v>162</v>
      </c>
      <c r="L3" s="34" t="s">
        <v>162</v>
      </c>
      <c r="M3" s="34" t="s">
        <v>162</v>
      </c>
      <c r="N3" s="34" t="s">
        <v>163</v>
      </c>
    </row>
    <row r="4" spans="1:14">
      <c r="A4" s="35" t="str">
        <f t="shared" si="0"/>
        <v>Aldrich|440140</v>
      </c>
      <c r="B4" s="35" t="s">
        <v>226</v>
      </c>
      <c r="C4" s="3" t="s">
        <v>227</v>
      </c>
      <c r="D4" s="35" t="s">
        <v>228</v>
      </c>
      <c r="E4" s="35" t="s">
        <v>229</v>
      </c>
      <c r="F4" s="35" t="s">
        <v>230</v>
      </c>
      <c r="G4" s="34" t="s">
        <v>230</v>
      </c>
      <c r="H4" s="34" t="s">
        <v>231</v>
      </c>
      <c r="I4" s="34" t="s">
        <v>232</v>
      </c>
      <c r="J4" s="34" t="s">
        <v>233</v>
      </c>
      <c r="K4" s="34" t="s">
        <v>234</v>
      </c>
      <c r="L4" s="34" t="s">
        <v>235</v>
      </c>
      <c r="M4" s="34" t="s">
        <v>236</v>
      </c>
      <c r="N4" s="21">
        <v>46246</v>
      </c>
    </row>
    <row r="5" spans="1:14">
      <c r="A5" s="35" t="str">
        <f t="shared" si="0"/>
        <v>Aldrich|131377</v>
      </c>
      <c r="B5" s="35" t="s">
        <v>202</v>
      </c>
      <c r="C5" s="3" t="s">
        <v>210</v>
      </c>
      <c r="D5" s="35" t="s">
        <v>271</v>
      </c>
      <c r="E5" s="35" t="s">
        <v>272</v>
      </c>
      <c r="F5" s="35" t="s">
        <v>230</v>
      </c>
      <c r="G5" s="34" t="s">
        <v>230</v>
      </c>
      <c r="H5" s="34" t="s">
        <v>230</v>
      </c>
      <c r="I5" s="34" t="s">
        <v>273</v>
      </c>
      <c r="J5" s="34" t="s">
        <v>274</v>
      </c>
      <c r="K5" s="34" t="s">
        <v>275</v>
      </c>
      <c r="L5" s="34" t="s">
        <v>276</v>
      </c>
      <c r="M5" s="34" t="s">
        <v>277</v>
      </c>
      <c r="N5" s="21">
        <v>46247</v>
      </c>
    </row>
    <row r="6" spans="1:14">
      <c r="A6" s="35" t="str">
        <f t="shared" si="0"/>
        <v>Aldrich|659452</v>
      </c>
      <c r="B6" s="35" t="s">
        <v>202</v>
      </c>
      <c r="C6" s="3" t="s">
        <v>212</v>
      </c>
      <c r="D6" s="35" t="s">
        <v>237</v>
      </c>
      <c r="E6" s="35" t="s">
        <v>238</v>
      </c>
      <c r="F6" s="35" t="s">
        <v>239</v>
      </c>
      <c r="G6" s="34" t="s">
        <v>230</v>
      </c>
      <c r="H6" s="34" t="s">
        <v>240</v>
      </c>
      <c r="I6" s="34" t="s">
        <v>241</v>
      </c>
      <c r="J6" s="34" t="s">
        <v>242</v>
      </c>
      <c r="K6" s="34" t="s">
        <v>243</v>
      </c>
      <c r="L6" s="34" t="s">
        <v>244</v>
      </c>
      <c r="M6" s="34" t="s">
        <v>245</v>
      </c>
      <c r="N6" s="21">
        <v>46247</v>
      </c>
    </row>
    <row r="7" spans="1:14">
      <c r="A7" s="35" t="str">
        <f t="shared" si="0"/>
        <v>Aldrich|402788</v>
      </c>
      <c r="B7" s="35" t="s">
        <v>22</v>
      </c>
      <c r="C7" s="3" t="s">
        <v>131</v>
      </c>
      <c r="D7" s="35" t="s">
        <v>132</v>
      </c>
      <c r="E7" s="35" t="s">
        <v>167</v>
      </c>
      <c r="F7" s="35" t="s">
        <v>57</v>
      </c>
      <c r="G7" s="34" t="s">
        <v>162</v>
      </c>
      <c r="H7" s="34" t="s">
        <v>166</v>
      </c>
      <c r="I7" s="34" t="s">
        <v>168</v>
      </c>
      <c r="J7" s="34" t="s">
        <v>169</v>
      </c>
      <c r="K7" s="34" t="s">
        <v>170</v>
      </c>
      <c r="L7" s="34" t="s">
        <v>171</v>
      </c>
      <c r="M7" s="34" t="s">
        <v>172</v>
      </c>
      <c r="N7" s="34" t="s">
        <v>163</v>
      </c>
    </row>
    <row r="8" spans="1:14">
      <c r="A8" s="35" t="str">
        <f t="shared" si="0"/>
        <v>Aldrich|909270-10G</v>
      </c>
      <c r="B8" s="35" t="s">
        <v>22</v>
      </c>
      <c r="C8" s="3" t="s">
        <v>137</v>
      </c>
      <c r="D8" s="35" t="s">
        <v>138</v>
      </c>
      <c r="E8" s="35" t="s">
        <v>173</v>
      </c>
      <c r="F8" s="35" t="s">
        <v>255</v>
      </c>
      <c r="G8" s="34" t="s">
        <v>162</v>
      </c>
      <c r="H8" s="34" t="s">
        <v>166</v>
      </c>
      <c r="I8" s="34" t="s">
        <v>174</v>
      </c>
      <c r="J8" s="34" t="s">
        <v>175</v>
      </c>
      <c r="K8" s="34" t="s">
        <v>176</v>
      </c>
      <c r="L8" s="34" t="s">
        <v>177</v>
      </c>
      <c r="M8" s="34" t="s">
        <v>178</v>
      </c>
      <c r="N8" s="34" t="s">
        <v>163</v>
      </c>
    </row>
    <row r="9" spans="1:14">
      <c r="A9" s="35" t="str">
        <f t="shared" si="0"/>
        <v>Aldrich|803200</v>
      </c>
      <c r="B9" s="35" t="s">
        <v>22</v>
      </c>
      <c r="C9" s="3" t="s">
        <v>135</v>
      </c>
      <c r="D9" s="35" t="s">
        <v>136</v>
      </c>
      <c r="E9" s="35" t="s">
        <v>179</v>
      </c>
      <c r="F9" s="35" t="s">
        <v>57</v>
      </c>
      <c r="G9" s="34" t="s">
        <v>162</v>
      </c>
      <c r="H9" s="34" t="s">
        <v>162</v>
      </c>
      <c r="I9" s="34" t="s">
        <v>162</v>
      </c>
      <c r="J9" s="34" t="s">
        <v>162</v>
      </c>
      <c r="K9" s="34" t="s">
        <v>180</v>
      </c>
      <c r="L9" s="34" t="s">
        <v>181</v>
      </c>
      <c r="M9" s="34" t="s">
        <v>182</v>
      </c>
      <c r="N9" s="34" t="s">
        <v>163</v>
      </c>
    </row>
    <row r="10" spans="1:14">
      <c r="A10" s="35" t="str">
        <f t="shared" si="0"/>
        <v>Aldrich|359238</v>
      </c>
      <c r="B10" s="35" t="s">
        <v>22</v>
      </c>
      <c r="C10" s="3" t="s">
        <v>24</v>
      </c>
      <c r="D10" s="35" t="s">
        <v>26</v>
      </c>
      <c r="E10" s="35" t="s">
        <v>183</v>
      </c>
      <c r="F10" s="35" t="s">
        <v>50</v>
      </c>
      <c r="G10" s="34" t="s">
        <v>162</v>
      </c>
      <c r="H10" s="34" t="s">
        <v>162</v>
      </c>
      <c r="I10" s="34" t="s">
        <v>162</v>
      </c>
      <c r="J10" s="34" t="s">
        <v>162</v>
      </c>
      <c r="K10" s="34" t="s">
        <v>184</v>
      </c>
      <c r="L10" s="34" t="s">
        <v>185</v>
      </c>
      <c r="M10" s="34" t="s">
        <v>186</v>
      </c>
      <c r="N10" s="34" t="s">
        <v>187</v>
      </c>
    </row>
    <row r="11" spans="1:14">
      <c r="A11" s="35" t="str">
        <f t="shared" si="0"/>
        <v>Aldrich|8.02361</v>
      </c>
      <c r="B11" s="35" t="s">
        <v>278</v>
      </c>
      <c r="C11" s="3" t="s">
        <v>279</v>
      </c>
      <c r="D11" s="35" t="s">
        <v>280</v>
      </c>
      <c r="E11" s="35" t="s">
        <v>281</v>
      </c>
      <c r="F11" s="35" t="s">
        <v>282</v>
      </c>
      <c r="G11" s="34" t="s">
        <v>283</v>
      </c>
      <c r="H11" s="34" t="s">
        <v>284</v>
      </c>
      <c r="I11" s="34" t="s">
        <v>285</v>
      </c>
      <c r="J11" s="34" t="s">
        <v>286</v>
      </c>
      <c r="K11" s="34" t="s">
        <v>287</v>
      </c>
      <c r="L11" s="34" t="s">
        <v>288</v>
      </c>
      <c r="M11" s="34" t="s">
        <v>289</v>
      </c>
      <c r="N11" s="21">
        <v>46247</v>
      </c>
    </row>
    <row r="12" spans="1:14">
      <c r="A12" s="35" t="str">
        <f t="shared" si="0"/>
        <v>Fff|2w5w</v>
      </c>
      <c r="B12" s="35" t="s">
        <v>42</v>
      </c>
      <c r="C12" s="3" t="s">
        <v>48</v>
      </c>
      <c r="D12" s="35" t="s">
        <v>45</v>
      </c>
      <c r="E12" s="35" t="s">
        <v>161</v>
      </c>
      <c r="F12" s="35" t="s">
        <v>162</v>
      </c>
      <c r="G12" s="34" t="s">
        <v>162</v>
      </c>
      <c r="H12" s="34" t="s">
        <v>162</v>
      </c>
      <c r="I12" s="34" t="s">
        <v>162</v>
      </c>
      <c r="J12" s="34" t="s">
        <v>162</v>
      </c>
      <c r="K12" s="34" t="s">
        <v>162</v>
      </c>
      <c r="L12" s="34" t="s">
        <v>162</v>
      </c>
      <c r="M12" s="34" t="s">
        <v>162</v>
      </c>
      <c r="N12" s="34" t="s">
        <v>163</v>
      </c>
    </row>
    <row r="13" spans="1:14">
      <c r="A13" s="35" t="str">
        <f t="shared" si="0"/>
        <v>TCI|c0119</v>
      </c>
      <c r="B13" s="35" t="s">
        <v>246</v>
      </c>
      <c r="C13" s="3" t="s">
        <v>247</v>
      </c>
      <c r="D13" s="35" t="s">
        <v>248</v>
      </c>
      <c r="E13" s="35" t="s">
        <v>249</v>
      </c>
      <c r="F13" s="35" t="s">
        <v>239</v>
      </c>
      <c r="G13" s="34" t="s">
        <v>251</v>
      </c>
      <c r="H13" s="34" t="s">
        <v>231</v>
      </c>
      <c r="I13" s="34" t="s">
        <v>232</v>
      </c>
      <c r="J13" s="34" t="s">
        <v>250</v>
      </c>
      <c r="K13" s="34" t="s">
        <v>252</v>
      </c>
      <c r="L13" s="34" t="s">
        <v>253</v>
      </c>
      <c r="M13" s="34" t="s">
        <v>254</v>
      </c>
      <c r="N13" s="21">
        <v>46246</v>
      </c>
    </row>
    <row r="14" spans="1:14">
      <c r="A14" s="35" t="str">
        <f t="shared" si="0"/>
        <v>TCI|B2065</v>
      </c>
      <c r="B14" s="35" t="s">
        <v>146</v>
      </c>
      <c r="C14" s="3" t="s">
        <v>152</v>
      </c>
      <c r="D14" s="35" t="s">
        <v>190</v>
      </c>
      <c r="E14" s="35" t="s">
        <v>191</v>
      </c>
      <c r="F14" s="35" t="s">
        <v>50</v>
      </c>
      <c r="G14" s="34" t="s">
        <v>188</v>
      </c>
      <c r="H14" s="34" t="s">
        <v>164</v>
      </c>
      <c r="I14" s="34" t="s">
        <v>165</v>
      </c>
      <c r="J14" s="34" t="s">
        <v>192</v>
      </c>
      <c r="K14" s="34" t="s">
        <v>193</v>
      </c>
      <c r="L14" s="34" t="s">
        <v>189</v>
      </c>
      <c r="M14" s="34" t="s">
        <v>194</v>
      </c>
      <c r="N14" s="34" t="s">
        <v>187</v>
      </c>
    </row>
    <row r="15" spans="1:14">
      <c r="A15" s="35" t="str">
        <f t="shared" si="0"/>
        <v>TCI|b4263</v>
      </c>
      <c r="B15" s="35" t="s">
        <v>256</v>
      </c>
      <c r="C15" s="3" t="s">
        <v>257</v>
      </c>
      <c r="D15" s="35" t="s">
        <v>258</v>
      </c>
      <c r="E15" s="35" t="s">
        <v>259</v>
      </c>
      <c r="F15" s="35" t="s">
        <v>260</v>
      </c>
      <c r="G15" s="34" t="s">
        <v>264</v>
      </c>
      <c r="H15" s="34" t="s">
        <v>261</v>
      </c>
      <c r="I15" s="34" t="s">
        <v>262</v>
      </c>
      <c r="J15" s="34" t="s">
        <v>263</v>
      </c>
      <c r="K15" s="34" t="s">
        <v>265</v>
      </c>
      <c r="L15" s="34" t="s">
        <v>266</v>
      </c>
      <c r="M15" s="34" t="s">
        <v>267</v>
      </c>
      <c r="N15" s="21">
        <v>46246</v>
      </c>
    </row>
    <row r="16" spans="1:14">
      <c r="A16" s="35" t="str">
        <f t="shared" si="0"/>
        <v>ThermoFisher|704060F</v>
      </c>
      <c r="B16" s="35" t="s">
        <v>139</v>
      </c>
      <c r="C16" s="3" t="s">
        <v>142</v>
      </c>
      <c r="D16" s="35" t="s">
        <v>143</v>
      </c>
      <c r="E16" s="35"/>
      <c r="F16" s="35" t="s">
        <v>50</v>
      </c>
      <c r="G16" s="34" t="s">
        <v>162</v>
      </c>
      <c r="H16" s="34" t="s">
        <v>162</v>
      </c>
      <c r="I16" s="34" t="s">
        <v>162</v>
      </c>
      <c r="J16" s="34" t="s">
        <v>162</v>
      </c>
      <c r="K16" s="34" t="s">
        <v>195</v>
      </c>
      <c r="L16" s="34" t="s">
        <v>196</v>
      </c>
      <c r="M16" s="34" t="s">
        <v>162</v>
      </c>
      <c r="N16" s="34" t="s">
        <v>187</v>
      </c>
    </row>
    <row r="17" spans="1:14">
      <c r="A17" s="35" t="str">
        <f t="shared" si="0"/>
        <v>ThermoFisher|A10436</v>
      </c>
      <c r="B17" s="35" t="s">
        <v>139</v>
      </c>
      <c r="C17" s="3" t="s">
        <v>140</v>
      </c>
      <c r="D17" s="35" t="s">
        <v>141</v>
      </c>
      <c r="E17" s="35"/>
      <c r="F17" s="35" t="s">
        <v>50</v>
      </c>
      <c r="G17" s="34" t="s">
        <v>162</v>
      </c>
      <c r="H17" s="34" t="s">
        <v>162</v>
      </c>
      <c r="I17" s="34" t="s">
        <v>162</v>
      </c>
      <c r="J17" s="34" t="s">
        <v>162</v>
      </c>
      <c r="K17" s="34" t="s">
        <v>197</v>
      </c>
      <c r="L17" s="34" t="s">
        <v>198</v>
      </c>
      <c r="M17" s="34" t="s">
        <v>199</v>
      </c>
      <c r="N17" s="34" t="s">
        <v>187</v>
      </c>
    </row>
    <row r="18" spans="1:14">
      <c r="A18" s="19" t="str">
        <f>B18&amp;"|"&amp;C18</f>
        <v>Aldrich|3we3</v>
      </c>
      <c r="B18" s="8" t="s">
        <v>22</v>
      </c>
      <c r="C18" s="8" t="s">
        <v>383</v>
      </c>
      <c r="D18" s="8" t="s">
        <v>71</v>
      </c>
      <c r="E18" s="8" t="s">
        <v>384</v>
      </c>
      <c r="F18" t="s">
        <v>162</v>
      </c>
      <c r="G18" s="8" t="s">
        <v>162</v>
      </c>
      <c r="H18" s="8" t="s">
        <v>162</v>
      </c>
      <c r="I18" s="8" t="s">
        <v>162</v>
      </c>
      <c r="J18" s="8" t="s">
        <v>162</v>
      </c>
      <c r="K18" s="8" t="s">
        <v>385</v>
      </c>
      <c r="L18" s="8" t="s">
        <v>162</v>
      </c>
      <c r="M18" s="8" t="s">
        <v>162</v>
      </c>
      <c r="N18" s="8" t="s">
        <v>162</v>
      </c>
    </row>
    <row r="19" spans="1:14">
      <c r="A19" s="19" t="str">
        <f>B19&amp;"|"&amp;C19</f>
        <v>Abcam|ab92536</v>
      </c>
      <c r="B19" s="8" t="s">
        <v>387</v>
      </c>
      <c r="C19" s="8" t="s">
        <v>389</v>
      </c>
      <c r="D19" s="8" t="s">
        <v>391</v>
      </c>
      <c r="E19" s="8" t="s">
        <v>392</v>
      </c>
      <c r="F19" t="s">
        <v>65</v>
      </c>
      <c r="G19" s="8" t="s">
        <v>162</v>
      </c>
      <c r="H19" s="8" t="s">
        <v>162</v>
      </c>
      <c r="I19" s="8" t="s">
        <v>162</v>
      </c>
      <c r="J19" s="8" t="s">
        <v>162</v>
      </c>
      <c r="K19" s="8" t="s">
        <v>393</v>
      </c>
      <c r="L19" s="8" t="s">
        <v>162</v>
      </c>
      <c r="M19" s="8" t="s">
        <v>162</v>
      </c>
      <c r="N19" s="47">
        <v>46247.625</v>
      </c>
    </row>
  </sheetData>
  <phoneticPr fontId="1" type="noConversion"/>
  <conditionalFormatting sqref="A2:N17">
    <cfRule type="cellIs" dxfId="77" priority="1" stopIfTrue="1" operator="equal">
      <formula>"Search Failed"</formula>
    </cfRule>
    <cfRule type="cellIs" dxfId="76" priority="2" stopIfTrue="1" operator="equal">
      <formula>"Product Not Found"</formula>
    </cfRule>
    <cfRule type="cellIs" dxfId="75" priority="3" stopIfTrue="1" operator="equal">
      <formula>"Manual Input Required"</formula>
    </cfRule>
    <cfRule type="cellIs" dxfId="74" priority="4" stopIfTrue="1" operator="equal">
      <formula>"Manual Entry Required"</formula>
    </cfRule>
    <cfRule type="cellIs" dxfId="73" priority="5" stopIfTrue="1" operator="equal">
      <formula>"Search Failed"</formula>
    </cfRule>
    <cfRule type="cellIs" dxfId="72" priority="6" stopIfTrue="1" operator="equal">
      <formula>"Product Not Found"</formula>
    </cfRule>
    <cfRule type="cellIs" dxfId="71" priority="7" stopIfTrue="1" operator="equal">
      <formula>"Manual Input Required"</formula>
    </cfRule>
    <cfRule type="cellIs" dxfId="70" priority="8" stopIfTrue="1" operator="equal">
      <formula>"Manual Entry Required"</formula>
    </cfRule>
    <cfRule type="cellIs" dxfId="69" priority="9" stopIfTrue="1" operator="equal">
      <formula>"Search Failed"</formula>
    </cfRule>
    <cfRule type="cellIs" dxfId="68" priority="10" stopIfTrue="1" operator="equal">
      <formula>"Product Not Found"</formula>
    </cfRule>
    <cfRule type="cellIs" dxfId="67" priority="11" stopIfTrue="1" operator="equal">
      <formula>"Manual Input Required"</formula>
    </cfRule>
    <cfRule type="cellIs" dxfId="66" priority="12" stopIfTrue="1" operator="equal">
      <formula>"Manual Entry Required"</formula>
    </cfRule>
    <cfRule type="cellIs" dxfId="65" priority="13" stopIfTrue="1" operator="equal">
      <formula>"Search Failed"</formula>
    </cfRule>
    <cfRule type="cellIs" dxfId="64" priority="14" stopIfTrue="1" operator="equal">
      <formula>"Product Not Found"</formula>
    </cfRule>
    <cfRule type="cellIs" dxfId="63" priority="15" stopIfTrue="1" operator="equal">
      <formula>"Manual Input Required"</formula>
    </cfRule>
    <cfRule type="cellIs" dxfId="62" priority="16" stopIfTrue="1" operator="equal">
      <formula>"Manual Entry Required"</formula>
    </cfRule>
    <cfRule type="cellIs" dxfId="61" priority="17" stopIfTrue="1" operator="equal">
      <formula>"Search Failed"</formula>
    </cfRule>
    <cfRule type="cellIs" dxfId="60" priority="18" stopIfTrue="1" operator="equal">
      <formula>"Product Not Found"</formula>
    </cfRule>
    <cfRule type="cellIs" dxfId="59" priority="19" stopIfTrue="1" operator="equal">
      <formula>"Manual Input Required"</formula>
    </cfRule>
    <cfRule type="cellIs" dxfId="58" priority="20" stopIfTrue="1" operator="equal">
      <formula>"Manual Entry Required"</formula>
    </cfRule>
    <cfRule type="cellIs" dxfId="57" priority="21" stopIfTrue="1" operator="equal">
      <formula>"Search Failed"</formula>
    </cfRule>
    <cfRule type="cellIs" dxfId="56" priority="22" stopIfTrue="1" operator="equal">
      <formula>"Product Not Found"</formula>
    </cfRule>
    <cfRule type="cellIs" dxfId="55" priority="23" stopIfTrue="1" operator="equal">
      <formula>"Manual Input Required"</formula>
    </cfRule>
    <cfRule type="cellIs" dxfId="54" priority="24" stopIfTrue="1" operator="equal">
      <formula>"Manual Entry Required"</formula>
    </cfRule>
    <cfRule type="cellIs" dxfId="53" priority="25" stopIfTrue="1" operator="equal">
      <formula>"Search Failed"</formula>
    </cfRule>
    <cfRule type="cellIs" dxfId="52" priority="26" stopIfTrue="1" operator="equal">
      <formula>"Product Not Found"</formula>
    </cfRule>
    <cfRule type="cellIs" dxfId="51" priority="27" stopIfTrue="1" operator="equal">
      <formula>"Manual Input Required"</formula>
    </cfRule>
    <cfRule type="cellIs" dxfId="50" priority="28" stopIfTrue="1" operator="equal">
      <formula>"Manual Entry Required"</formula>
    </cfRule>
    <cfRule type="cellIs" dxfId="49" priority="29" stopIfTrue="1" operator="equal">
      <formula>"Search Failed"</formula>
    </cfRule>
    <cfRule type="cellIs" dxfId="48" priority="30" stopIfTrue="1" operator="equal">
      <formula>"Product Not Found"</formula>
    </cfRule>
    <cfRule type="cellIs" dxfId="47" priority="31" stopIfTrue="1" operator="equal">
      <formula>"Manual Input Required"</formula>
    </cfRule>
    <cfRule type="cellIs" dxfId="46" priority="32" stopIfTrue="1" operator="equal">
      <formula>"Manual Entry Required"</formula>
    </cfRule>
    <cfRule type="cellIs" dxfId="45" priority="33" stopIfTrue="1" operator="equal">
      <formula>"Search Failed"</formula>
    </cfRule>
    <cfRule type="cellIs" dxfId="44" priority="34" stopIfTrue="1" operator="equal">
      <formula>"Product Not Found"</formula>
    </cfRule>
    <cfRule type="cellIs" dxfId="43" priority="35" stopIfTrue="1" operator="equal">
      <formula>"Manual Input Required"</formula>
    </cfRule>
    <cfRule type="cellIs" dxfId="42" priority="36" stopIfTrue="1" operator="equal">
      <formula>"Manual Entry Required"</formula>
    </cfRule>
    <cfRule type="cellIs" dxfId="41" priority="37" stopIfTrue="1" operator="equal">
      <formula>"Search Failed"</formula>
    </cfRule>
    <cfRule type="cellIs" dxfId="40" priority="38" stopIfTrue="1" operator="equal">
      <formula>"Product Not Found"</formula>
    </cfRule>
    <cfRule type="cellIs" dxfId="39" priority="39" stopIfTrue="1" operator="equal">
      <formula>"Manual Input Required"</formula>
    </cfRule>
    <cfRule type="cellIs" dxfId="38" priority="40" stopIfTrue="1" operator="equal">
      <formula>"Manual Entry Required"</formula>
    </cfRule>
    <cfRule type="cellIs" dxfId="37" priority="41" stopIfTrue="1" operator="equal">
      <formula>"Search Failed"</formula>
    </cfRule>
    <cfRule type="cellIs" dxfId="36" priority="42" stopIfTrue="1" operator="equal">
      <formula>"Product Not Found"</formula>
    </cfRule>
    <cfRule type="cellIs" dxfId="35" priority="43" stopIfTrue="1" operator="equal">
      <formula>"Manual Input Required"</formula>
    </cfRule>
    <cfRule type="cellIs" dxfId="34" priority="44" stopIfTrue="1" operator="equal">
      <formula>"Manual Entry Required"</formula>
    </cfRule>
    <cfRule type="cellIs" dxfId="33" priority="45" stopIfTrue="1" operator="equal">
      <formula>"Search Failed"</formula>
    </cfRule>
    <cfRule type="cellIs" dxfId="32" priority="46" stopIfTrue="1" operator="equal">
      <formula>"Product Not Found"</formula>
    </cfRule>
    <cfRule type="cellIs" dxfId="31" priority="47" stopIfTrue="1" operator="equal">
      <formula>"Manual Input Required"</formula>
    </cfRule>
    <cfRule type="cellIs" dxfId="30" priority="48" stopIfTrue="1" operator="equal">
      <formula>"Manual Entry Required"</formula>
    </cfRule>
    <cfRule type="cellIs" dxfId="29" priority="49" stopIfTrue="1" operator="equal">
      <formula>"Search Failed"</formula>
    </cfRule>
    <cfRule type="cellIs" dxfId="28" priority="50" stopIfTrue="1" operator="equal">
      <formula>"Product Not Found"</formula>
    </cfRule>
    <cfRule type="cellIs" dxfId="27" priority="51" stopIfTrue="1" operator="equal">
      <formula>"Manual Input Required"</formula>
    </cfRule>
    <cfRule type="cellIs" dxfId="26" priority="52" stopIfTrue="1" operator="equal">
      <formula>"Manual Entry Required"</formula>
    </cfRule>
    <cfRule type="cellIs" dxfId="25" priority="53" stopIfTrue="1" operator="equal">
      <formula>"Search Failed"</formula>
    </cfRule>
    <cfRule type="cellIs" dxfId="24" priority="54" stopIfTrue="1" operator="equal">
      <formula>"Product Not Found"</formula>
    </cfRule>
    <cfRule type="cellIs" dxfId="23" priority="55" stopIfTrue="1" operator="equal">
      <formula>"Manual Input Required"</formula>
    </cfRule>
    <cfRule type="cellIs" dxfId="22" priority="56" stopIfTrue="1" operator="equal">
      <formula>"Manual Entry Required"</formula>
    </cfRule>
    <cfRule type="cellIs" dxfId="21" priority="57" stopIfTrue="1" operator="equal">
      <formula>"Search Failed"</formula>
    </cfRule>
    <cfRule type="cellIs" dxfId="20" priority="58" stopIfTrue="1" operator="equal">
      <formula>"Product Not Found"</formula>
    </cfRule>
    <cfRule type="cellIs" dxfId="19" priority="59" stopIfTrue="1" operator="equal">
      <formula>"Manual Input Required"</formula>
    </cfRule>
    <cfRule type="cellIs" dxfId="18" priority="60" stopIfTrue="1" operator="equal">
      <formula>"Manual Entry Required"</formula>
    </cfRule>
    <cfRule type="cellIs" dxfId="17" priority="61" stopIfTrue="1" operator="equal">
      <formula>"Search Failed"</formula>
    </cfRule>
    <cfRule type="cellIs" dxfId="16" priority="62" stopIfTrue="1" operator="equal">
      <formula>"Product Not Found"</formula>
    </cfRule>
    <cfRule type="cellIs" dxfId="15" priority="63" stopIfTrue="1" operator="equal">
      <formula>"Manual Input Required"</formula>
    </cfRule>
    <cfRule type="cellIs" dxfId="14" priority="64" stopIfTrue="1" operator="equal">
      <formula>"Manual Entry Required"</formula>
    </cfRule>
    <cfRule type="cellIs" dxfId="13" priority="65" stopIfTrue="1" operator="equal">
      <formula>"Search Failed"</formula>
    </cfRule>
    <cfRule type="cellIs" dxfId="12" priority="66" stopIfTrue="1" operator="equal">
      <formula>"Product Not Found"</formula>
    </cfRule>
    <cfRule type="cellIs" dxfId="11" priority="67" stopIfTrue="1" operator="equal">
      <formula>"Manual Input Required"</formula>
    </cfRule>
    <cfRule type="cellIs" dxfId="10" priority="68" stopIfTrue="1" operator="equal">
      <formula>"Manual Entry Required"</formula>
    </cfRule>
  </conditionalFormatting>
  <pageMargins left="0.75" right="0.75" top="1" bottom="1" header="0.5" footer="0.5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0"/>
  <sheetViews>
    <sheetView workbookViewId="0">
      <selection activeCell="C15" sqref="C15"/>
    </sheetView>
  </sheetViews>
  <sheetFormatPr defaultRowHeight="16.5"/>
  <cols>
    <col min="1" max="1" width="24.625" customWidth="1"/>
    <col min="2" max="2" width="30.625" customWidth="1"/>
    <col min="3" max="3" width="65.625" customWidth="1"/>
    <col min="4" max="4" width="45.625" customWidth="1"/>
  </cols>
  <sheetData>
    <row r="1" spans="1:4" ht="21.95" customHeight="1">
      <c r="A1" s="38" t="s">
        <v>290</v>
      </c>
      <c r="B1" s="39"/>
      <c r="C1" s="39"/>
      <c r="D1" s="39"/>
    </row>
    <row r="2" spans="1:4" ht="21.95" customHeight="1">
      <c r="A2" s="39"/>
      <c r="B2" s="39"/>
      <c r="C2" s="39"/>
      <c r="D2" s="39"/>
    </row>
    <row r="4" spans="1:4" ht="27.95" customHeight="1">
      <c r="A4" s="40" t="s">
        <v>291</v>
      </c>
      <c r="B4" s="41"/>
      <c r="C4" s="41"/>
      <c r="D4" s="41"/>
    </row>
    <row r="5" spans="1:4" ht="20.100000000000001" customHeight="1">
      <c r="A5" s="42" t="s">
        <v>292</v>
      </c>
      <c r="B5" s="43"/>
      <c r="C5" s="43"/>
      <c r="D5" s="43"/>
    </row>
    <row r="7" spans="1:4" ht="24" customHeight="1">
      <c r="A7" s="44" t="s">
        <v>293</v>
      </c>
      <c r="B7" s="41"/>
      <c r="C7" s="41"/>
      <c r="D7" s="41"/>
    </row>
    <row r="8" spans="1:4" ht="24" customHeight="1">
      <c r="A8" s="22" t="s">
        <v>294</v>
      </c>
      <c r="B8" s="22" t="s">
        <v>295</v>
      </c>
      <c r="C8" s="22" t="s">
        <v>296</v>
      </c>
      <c r="D8" s="22" t="s">
        <v>297</v>
      </c>
    </row>
    <row r="9" spans="1:4" ht="21.95" customHeight="1">
      <c r="A9" s="23">
        <v>1</v>
      </c>
      <c r="B9" s="24" t="s">
        <v>298</v>
      </c>
      <c r="C9" s="31" t="s">
        <v>299</v>
      </c>
      <c r="D9" s="25" t="s">
        <v>300</v>
      </c>
    </row>
    <row r="10" spans="1:4" ht="21.95" customHeight="1">
      <c r="A10" s="26">
        <v>2</v>
      </c>
      <c r="B10" s="27" t="s">
        <v>301</v>
      </c>
      <c r="C10" s="33" t="s">
        <v>302</v>
      </c>
      <c r="D10" s="28">
        <v>46247</v>
      </c>
    </row>
    <row r="11" spans="1:4" ht="21.95" customHeight="1">
      <c r="A11" s="23">
        <v>3</v>
      </c>
      <c r="B11" s="24" t="s">
        <v>303</v>
      </c>
      <c r="C11" s="31" t="s">
        <v>304</v>
      </c>
      <c r="D11" s="25" t="s">
        <v>305</v>
      </c>
    </row>
    <row r="12" spans="1:4" ht="21.95" customHeight="1">
      <c r="A12" s="26">
        <v>4</v>
      </c>
      <c r="B12" s="27" t="s">
        <v>306</v>
      </c>
      <c r="C12" s="33" t="s">
        <v>307</v>
      </c>
      <c r="D12" s="29" t="s">
        <v>308</v>
      </c>
    </row>
    <row r="13" spans="1:4" ht="21.95" customHeight="1">
      <c r="A13" s="23">
        <v>5</v>
      </c>
      <c r="B13" s="24" t="s">
        <v>309</v>
      </c>
      <c r="C13" s="31" t="s">
        <v>310</v>
      </c>
      <c r="D13" s="25" t="s">
        <v>311</v>
      </c>
    </row>
    <row r="14" spans="1:4" ht="21.95" customHeight="1">
      <c r="A14" s="26">
        <v>6</v>
      </c>
      <c r="B14" s="27" t="s">
        <v>312</v>
      </c>
      <c r="C14" s="33" t="s">
        <v>313</v>
      </c>
      <c r="D14" s="29" t="s">
        <v>314</v>
      </c>
    </row>
    <row r="15" spans="1:4" ht="21.95" customHeight="1">
      <c r="A15" s="23">
        <v>7</v>
      </c>
      <c r="B15" s="24" t="s">
        <v>315</v>
      </c>
      <c r="C15" s="31" t="s">
        <v>316</v>
      </c>
      <c r="D15" s="25" t="s">
        <v>317</v>
      </c>
    </row>
    <row r="16" spans="1:4" ht="21.95" customHeight="1">
      <c r="A16" s="26">
        <v>8</v>
      </c>
      <c r="B16" s="27" t="s">
        <v>318</v>
      </c>
      <c r="C16" s="33" t="s">
        <v>319</v>
      </c>
      <c r="D16" s="29" t="s">
        <v>320</v>
      </c>
    </row>
    <row r="17" spans="1:4" ht="21.95" customHeight="1">
      <c r="A17" s="23">
        <v>9</v>
      </c>
      <c r="B17" s="24" t="s">
        <v>321</v>
      </c>
      <c r="C17" s="31" t="s">
        <v>322</v>
      </c>
      <c r="D17" s="25" t="s">
        <v>323</v>
      </c>
    </row>
    <row r="18" spans="1:4" ht="21.95" customHeight="1"/>
    <row r="19" spans="1:4" ht="24" customHeight="1">
      <c r="A19" s="44" t="s">
        <v>324</v>
      </c>
      <c r="B19" s="41"/>
      <c r="C19" s="41"/>
      <c r="D19" s="41"/>
    </row>
    <row r="20" spans="1:4" ht="24" customHeight="1">
      <c r="A20" s="36" t="s">
        <v>325</v>
      </c>
      <c r="B20" s="37"/>
      <c r="C20" s="37"/>
      <c r="D20" s="37"/>
    </row>
    <row r="21" spans="1:4" ht="24" customHeight="1">
      <c r="A21" s="36" t="s">
        <v>326</v>
      </c>
      <c r="B21" s="37"/>
      <c r="C21" s="37"/>
      <c r="D21" s="37"/>
    </row>
    <row r="22" spans="1:4" ht="24" customHeight="1"/>
    <row r="23" spans="1:4" ht="24" customHeight="1"/>
    <row r="24" spans="1:4" ht="27.95" customHeight="1">
      <c r="A24" s="40" t="s">
        <v>327</v>
      </c>
      <c r="B24" s="41"/>
      <c r="C24" s="41"/>
      <c r="D24" s="41"/>
    </row>
    <row r="25" spans="1:4" ht="24" customHeight="1">
      <c r="A25" s="44" t="s">
        <v>328</v>
      </c>
      <c r="B25" s="41"/>
      <c r="C25" s="41"/>
      <c r="D25" s="41"/>
    </row>
    <row r="26" spans="1:4" ht="24" customHeight="1">
      <c r="A26" s="22" t="s">
        <v>329</v>
      </c>
      <c r="B26" s="22" t="s">
        <v>330</v>
      </c>
      <c r="C26" s="22" t="s">
        <v>331</v>
      </c>
      <c r="D26" s="22" t="s">
        <v>332</v>
      </c>
    </row>
    <row r="27" spans="1:4" ht="21.95" customHeight="1">
      <c r="A27" s="23" t="s">
        <v>333</v>
      </c>
      <c r="B27" s="23" t="s">
        <v>334</v>
      </c>
      <c r="C27" s="31" t="s">
        <v>335</v>
      </c>
      <c r="D27" s="31" t="s">
        <v>336</v>
      </c>
    </row>
    <row r="28" spans="1:4" ht="21.95" customHeight="1">
      <c r="A28" s="26" t="s">
        <v>372</v>
      </c>
      <c r="B28" s="26" t="s">
        <v>373</v>
      </c>
      <c r="C28" s="33" t="s">
        <v>374</v>
      </c>
      <c r="D28" s="33" t="s">
        <v>375</v>
      </c>
    </row>
    <row r="29" spans="1:4" ht="21.95" customHeight="1">
      <c r="A29" s="23" t="s">
        <v>337</v>
      </c>
      <c r="B29" s="23" t="s">
        <v>338</v>
      </c>
      <c r="C29" s="31" t="s">
        <v>339</v>
      </c>
      <c r="D29" s="31" t="s">
        <v>340</v>
      </c>
    </row>
    <row r="30" spans="1:4" ht="21.95" customHeight="1">
      <c r="A30" s="26" t="s">
        <v>341</v>
      </c>
      <c r="B30" s="26" t="s">
        <v>342</v>
      </c>
      <c r="C30" s="33" t="s">
        <v>343</v>
      </c>
      <c r="D30" s="33" t="s">
        <v>344</v>
      </c>
    </row>
    <row r="31" spans="1:4" ht="21.95" customHeight="1"/>
    <row r="32" spans="1:4" ht="24" customHeight="1">
      <c r="A32" s="44" t="s">
        <v>345</v>
      </c>
      <c r="B32" s="41"/>
      <c r="C32" s="41"/>
      <c r="D32" s="41"/>
    </row>
    <row r="33" spans="1:4" ht="24" customHeight="1">
      <c r="A33" s="22" t="s">
        <v>295</v>
      </c>
      <c r="B33" s="22" t="s">
        <v>346</v>
      </c>
      <c r="C33" s="22" t="s">
        <v>347</v>
      </c>
      <c r="D33" s="22" t="s">
        <v>348</v>
      </c>
    </row>
    <row r="34" spans="1:4" ht="21.95" customHeight="1">
      <c r="A34" s="24" t="s">
        <v>349</v>
      </c>
      <c r="B34" s="23" t="s">
        <v>350</v>
      </c>
      <c r="C34" s="31" t="s">
        <v>351</v>
      </c>
      <c r="D34" s="25" t="s">
        <v>352</v>
      </c>
    </row>
    <row r="35" spans="1:4" ht="21.95" customHeight="1">
      <c r="A35" s="27" t="s">
        <v>353</v>
      </c>
      <c r="B35" s="26" t="s">
        <v>350</v>
      </c>
      <c r="C35" s="33" t="s">
        <v>354</v>
      </c>
      <c r="D35" s="29" t="s">
        <v>355</v>
      </c>
    </row>
    <row r="36" spans="1:4" ht="21.95" customHeight="1">
      <c r="A36" s="24" t="s">
        <v>356</v>
      </c>
      <c r="B36" s="23" t="s">
        <v>350</v>
      </c>
      <c r="C36" s="31" t="s">
        <v>376</v>
      </c>
      <c r="D36" s="25" t="s">
        <v>357</v>
      </c>
    </row>
    <row r="37" spans="1:4" ht="21.95" customHeight="1">
      <c r="A37" s="27" t="s">
        <v>358</v>
      </c>
      <c r="B37" s="26" t="s">
        <v>350</v>
      </c>
      <c r="C37" s="33" t="s">
        <v>359</v>
      </c>
      <c r="D37" s="29" t="s">
        <v>360</v>
      </c>
    </row>
    <row r="38" spans="1:4" ht="21.95" customHeight="1"/>
    <row r="39" spans="1:4" ht="24" customHeight="1">
      <c r="A39" s="44" t="s">
        <v>361</v>
      </c>
      <c r="B39" s="41"/>
      <c r="C39" s="41"/>
      <c r="D39" s="41"/>
    </row>
    <row r="40" spans="1:4" ht="26.1" customHeight="1">
      <c r="A40" s="36" t="s">
        <v>362</v>
      </c>
      <c r="B40" s="37"/>
      <c r="C40" s="37"/>
      <c r="D40" s="37"/>
    </row>
    <row r="41" spans="1:4" ht="26.1" customHeight="1">
      <c r="A41" s="36" t="s">
        <v>363</v>
      </c>
      <c r="B41" s="37"/>
      <c r="C41" s="37"/>
      <c r="D41" s="37"/>
    </row>
    <row r="42" spans="1:4" ht="26.1" customHeight="1">
      <c r="A42" s="36" t="s">
        <v>364</v>
      </c>
      <c r="B42" s="37"/>
      <c r="C42" s="37"/>
      <c r="D42" s="37"/>
    </row>
    <row r="43" spans="1:4" ht="26.1" customHeight="1"/>
    <row r="44" spans="1:4" ht="26.1" customHeight="1"/>
    <row r="45" spans="1:4" ht="27.95" customHeight="1">
      <c r="A45" s="40" t="s">
        <v>365</v>
      </c>
      <c r="B45" s="41"/>
      <c r="C45" s="41"/>
      <c r="D45" s="41"/>
    </row>
    <row r="46" spans="1:4" ht="21.95" customHeight="1">
      <c r="A46" s="30" t="s">
        <v>366</v>
      </c>
      <c r="B46" s="45" t="s">
        <v>367</v>
      </c>
      <c r="C46" s="37"/>
      <c r="D46" s="37"/>
    </row>
    <row r="47" spans="1:4" ht="21.95" customHeight="1">
      <c r="A47" s="32" t="s">
        <v>368</v>
      </c>
      <c r="B47" s="46" t="s">
        <v>369</v>
      </c>
      <c r="C47" s="37"/>
      <c r="D47" s="37"/>
    </row>
    <row r="48" spans="1:4" ht="21.95" customHeight="1">
      <c r="A48" s="30" t="s">
        <v>370</v>
      </c>
      <c r="B48" s="45" t="s">
        <v>371</v>
      </c>
      <c r="C48" s="37"/>
      <c r="D48" s="37"/>
    </row>
    <row r="49" ht="21.95" customHeight="1"/>
    <row r="50" ht="21.95" customHeight="1"/>
  </sheetData>
  <mergeCells count="18">
    <mergeCell ref="A42:D42"/>
    <mergeCell ref="B48:D48"/>
    <mergeCell ref="A45:D45"/>
    <mergeCell ref="B46:D46"/>
    <mergeCell ref="B47:D47"/>
    <mergeCell ref="A41:D41"/>
    <mergeCell ref="A1:D2"/>
    <mergeCell ref="A4:D4"/>
    <mergeCell ref="A5:D5"/>
    <mergeCell ref="A7:D7"/>
    <mergeCell ref="A20:D20"/>
    <mergeCell ref="A21:D21"/>
    <mergeCell ref="A19:D19"/>
    <mergeCell ref="A24:D24"/>
    <mergeCell ref="A25:D25"/>
    <mergeCell ref="A32:D32"/>
    <mergeCell ref="A39:D39"/>
    <mergeCell ref="A40:D40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ChemicalList</vt:lpstr>
      <vt:lpstr>index</vt:lpstr>
      <vt:lpstr>DB</vt:lpstr>
      <vt:lpstr>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Jeonghun Lee</dc:creator>
  <cp:lastModifiedBy>Jeonghun Lee</cp:lastModifiedBy>
  <dcterms:created xsi:type="dcterms:W3CDTF">2026-07-27T13:02:05Z</dcterms:created>
  <dcterms:modified xsi:type="dcterms:W3CDTF">2026-08-14T02:00:06Z</dcterms:modified>
</cp:coreProperties>
</file>