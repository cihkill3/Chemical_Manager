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P2" i="1" l="1"/>
  <c r="P94" i="1"/>
  <c r="Q94" i="1"/>
  <c r="R94" i="1"/>
  <c r="S94" i="1"/>
  <c r="T94" i="1"/>
  <c r="U94" i="1"/>
  <c r="P95" i="1"/>
  <c r="Q95" i="1"/>
  <c r="R95" i="1"/>
  <c r="S95" i="1"/>
  <c r="T95" i="1"/>
  <c r="U95" i="1"/>
  <c r="P96" i="1"/>
  <c r="Q96" i="1"/>
  <c r="R96" i="1"/>
  <c r="S96" i="1"/>
  <c r="T96" i="1"/>
  <c r="U96" i="1"/>
  <c r="P97" i="1"/>
  <c r="Q97" i="1"/>
  <c r="R97" i="1"/>
  <c r="S97" i="1"/>
  <c r="T97" i="1"/>
  <c r="U97" i="1"/>
  <c r="P98" i="1"/>
  <c r="Q98" i="1"/>
  <c r="R98" i="1"/>
  <c r="S98" i="1"/>
  <c r="T98" i="1"/>
  <c r="U98" i="1"/>
  <c r="P99" i="1"/>
  <c r="Q99" i="1"/>
  <c r="R99" i="1"/>
  <c r="S99" i="1"/>
  <c r="T99" i="1"/>
  <c r="U99" i="1"/>
  <c r="P100" i="1"/>
  <c r="Q100" i="1"/>
  <c r="R100" i="1"/>
  <c r="S100" i="1"/>
  <c r="T100" i="1"/>
  <c r="U100" i="1"/>
  <c r="P101" i="1"/>
  <c r="Q101" i="1"/>
  <c r="R101" i="1"/>
  <c r="S101" i="1"/>
  <c r="T101" i="1"/>
  <c r="U101" i="1"/>
  <c r="P34" i="1"/>
  <c r="Q34" i="1"/>
  <c r="R34" i="1"/>
  <c r="S34" i="1"/>
  <c r="T34" i="1"/>
  <c r="U34" i="1"/>
  <c r="P35" i="1"/>
  <c r="Q35" i="1"/>
  <c r="R35" i="1"/>
  <c r="S35" i="1"/>
  <c r="T35" i="1"/>
  <c r="U35" i="1"/>
  <c r="P36" i="1"/>
  <c r="Q36" i="1"/>
  <c r="R36" i="1"/>
  <c r="S36" i="1"/>
  <c r="T36" i="1"/>
  <c r="U36" i="1"/>
  <c r="P37" i="1"/>
  <c r="Q37" i="1"/>
  <c r="R37" i="1"/>
  <c r="S37" i="1"/>
  <c r="T37" i="1"/>
  <c r="U37" i="1"/>
  <c r="P38" i="1"/>
  <c r="Q38" i="1"/>
  <c r="R38" i="1"/>
  <c r="S38" i="1"/>
  <c r="T38" i="1"/>
  <c r="U38" i="1"/>
  <c r="P39" i="1"/>
  <c r="Q39" i="1"/>
  <c r="R39" i="1"/>
  <c r="S39" i="1"/>
  <c r="T39" i="1"/>
  <c r="U39" i="1"/>
  <c r="P40" i="1"/>
  <c r="Q40" i="1"/>
  <c r="R40" i="1"/>
  <c r="S40" i="1"/>
  <c r="T40" i="1"/>
  <c r="U40" i="1"/>
  <c r="P41" i="1"/>
  <c r="Q41" i="1"/>
  <c r="R41" i="1"/>
  <c r="S41" i="1"/>
  <c r="T41" i="1"/>
  <c r="U41" i="1"/>
  <c r="P42" i="1"/>
  <c r="Q42" i="1"/>
  <c r="R42" i="1"/>
  <c r="S42" i="1"/>
  <c r="T42" i="1"/>
  <c r="U42" i="1"/>
  <c r="P43" i="1"/>
  <c r="Q43" i="1"/>
  <c r="R43" i="1"/>
  <c r="S43" i="1"/>
  <c r="T43" i="1"/>
  <c r="U43" i="1"/>
  <c r="P44" i="1"/>
  <c r="Q44" i="1"/>
  <c r="R44" i="1"/>
  <c r="S44" i="1"/>
  <c r="T44" i="1"/>
  <c r="U44" i="1"/>
  <c r="P45" i="1"/>
  <c r="Q45" i="1"/>
  <c r="R45" i="1"/>
  <c r="S45" i="1"/>
  <c r="T45" i="1"/>
  <c r="U45" i="1"/>
  <c r="P46" i="1"/>
  <c r="Q46" i="1"/>
  <c r="R46" i="1"/>
  <c r="S46" i="1"/>
  <c r="T46" i="1"/>
  <c r="U46" i="1"/>
  <c r="P47" i="1"/>
  <c r="Q47" i="1"/>
  <c r="R47" i="1"/>
  <c r="S47" i="1"/>
  <c r="T47" i="1"/>
  <c r="U47" i="1"/>
  <c r="P48" i="1"/>
  <c r="Q48" i="1"/>
  <c r="R48" i="1"/>
  <c r="S48" i="1"/>
  <c r="T48" i="1"/>
  <c r="U48" i="1"/>
  <c r="P49" i="1"/>
  <c r="Q49" i="1"/>
  <c r="R49" i="1"/>
  <c r="S49" i="1"/>
  <c r="T49" i="1"/>
  <c r="U49" i="1"/>
  <c r="P50" i="1"/>
  <c r="Q50" i="1"/>
  <c r="R50" i="1"/>
  <c r="S50" i="1"/>
  <c r="T50" i="1"/>
  <c r="U50" i="1"/>
  <c r="P51" i="1"/>
  <c r="Q51" i="1"/>
  <c r="R51" i="1"/>
  <c r="S51" i="1"/>
  <c r="T51" i="1"/>
  <c r="U51" i="1"/>
  <c r="P52" i="1"/>
  <c r="Q52" i="1"/>
  <c r="R52" i="1"/>
  <c r="S52" i="1"/>
  <c r="T52" i="1"/>
  <c r="U52" i="1"/>
  <c r="P53" i="1"/>
  <c r="Q53" i="1"/>
  <c r="R53" i="1"/>
  <c r="S53" i="1"/>
  <c r="T53" i="1"/>
  <c r="U53" i="1"/>
  <c r="P54" i="1"/>
  <c r="Q54" i="1"/>
  <c r="R54" i="1"/>
  <c r="S54" i="1"/>
  <c r="T54" i="1"/>
  <c r="U54" i="1"/>
  <c r="P55" i="1"/>
  <c r="Q55" i="1"/>
  <c r="R55" i="1"/>
  <c r="S55" i="1"/>
  <c r="T55" i="1"/>
  <c r="U55" i="1"/>
  <c r="P56" i="1"/>
  <c r="Q56" i="1"/>
  <c r="R56" i="1"/>
  <c r="S56" i="1"/>
  <c r="T56" i="1"/>
  <c r="U56" i="1"/>
  <c r="P57" i="1"/>
  <c r="Q57" i="1"/>
  <c r="R57" i="1"/>
  <c r="S57" i="1"/>
  <c r="T57" i="1"/>
  <c r="U57" i="1"/>
  <c r="P58" i="1"/>
  <c r="Q58" i="1"/>
  <c r="R58" i="1"/>
  <c r="S58" i="1"/>
  <c r="T58" i="1"/>
  <c r="U58" i="1"/>
  <c r="P59" i="1"/>
  <c r="Q59" i="1"/>
  <c r="R59" i="1"/>
  <c r="S59" i="1"/>
  <c r="T59" i="1"/>
  <c r="U59" i="1"/>
  <c r="P60" i="1"/>
  <c r="Q60" i="1"/>
  <c r="R60" i="1"/>
  <c r="S60" i="1"/>
  <c r="T60" i="1"/>
  <c r="U60" i="1"/>
  <c r="P61" i="1"/>
  <c r="Q61" i="1"/>
  <c r="R61" i="1"/>
  <c r="S61" i="1"/>
  <c r="T61" i="1"/>
  <c r="U61" i="1"/>
  <c r="P62" i="1"/>
  <c r="Q62" i="1"/>
  <c r="R62" i="1"/>
  <c r="S62" i="1"/>
  <c r="T62" i="1"/>
  <c r="U62" i="1"/>
  <c r="P63" i="1"/>
  <c r="Q63" i="1"/>
  <c r="R63" i="1"/>
  <c r="S63" i="1"/>
  <c r="T63" i="1"/>
  <c r="U63" i="1"/>
  <c r="P64" i="1"/>
  <c r="Q64" i="1"/>
  <c r="R64" i="1"/>
  <c r="S64" i="1"/>
  <c r="T64" i="1"/>
  <c r="U64" i="1"/>
  <c r="P65" i="1"/>
  <c r="Q65" i="1"/>
  <c r="R65" i="1"/>
  <c r="S65" i="1"/>
  <c r="T65" i="1"/>
  <c r="U65" i="1"/>
  <c r="P66" i="1"/>
  <c r="Q66" i="1"/>
  <c r="R66" i="1"/>
  <c r="S66" i="1"/>
  <c r="T66" i="1"/>
  <c r="U66" i="1"/>
  <c r="P67" i="1"/>
  <c r="Q67" i="1"/>
  <c r="R67" i="1"/>
  <c r="S67" i="1"/>
  <c r="T67" i="1"/>
  <c r="U67" i="1"/>
  <c r="P68" i="1"/>
  <c r="Q68" i="1"/>
  <c r="R68" i="1"/>
  <c r="S68" i="1"/>
  <c r="T68" i="1"/>
  <c r="U68" i="1"/>
  <c r="P69" i="1"/>
  <c r="Q69" i="1"/>
  <c r="R69" i="1"/>
  <c r="S69" i="1"/>
  <c r="T69" i="1"/>
  <c r="U69" i="1"/>
  <c r="P70" i="1"/>
  <c r="Q70" i="1"/>
  <c r="R70" i="1"/>
  <c r="S70" i="1"/>
  <c r="T70" i="1"/>
  <c r="U70" i="1"/>
  <c r="P71" i="1"/>
  <c r="Q71" i="1"/>
  <c r="R71" i="1"/>
  <c r="S71" i="1"/>
  <c r="T71" i="1"/>
  <c r="U71" i="1"/>
  <c r="P72" i="1"/>
  <c r="Q72" i="1"/>
  <c r="R72" i="1"/>
  <c r="S72" i="1"/>
  <c r="T72" i="1"/>
  <c r="U72" i="1"/>
  <c r="P73" i="1"/>
  <c r="Q73" i="1"/>
  <c r="R73" i="1"/>
  <c r="S73" i="1"/>
  <c r="T73" i="1"/>
  <c r="U73" i="1"/>
  <c r="P74" i="1"/>
  <c r="Q74" i="1"/>
  <c r="R74" i="1"/>
  <c r="S74" i="1"/>
  <c r="T74" i="1"/>
  <c r="U74" i="1"/>
  <c r="P75" i="1"/>
  <c r="Q75" i="1"/>
  <c r="R75" i="1"/>
  <c r="S75" i="1"/>
  <c r="T75" i="1"/>
  <c r="U75" i="1"/>
  <c r="P76" i="1"/>
  <c r="Q76" i="1"/>
  <c r="R76" i="1"/>
  <c r="S76" i="1"/>
  <c r="T76" i="1"/>
  <c r="U76" i="1"/>
  <c r="P77" i="1"/>
  <c r="Q77" i="1"/>
  <c r="R77" i="1"/>
  <c r="S77" i="1"/>
  <c r="T77" i="1"/>
  <c r="U77" i="1"/>
  <c r="P78" i="1"/>
  <c r="Q78" i="1"/>
  <c r="R78" i="1"/>
  <c r="S78" i="1"/>
  <c r="T78" i="1"/>
  <c r="U78" i="1"/>
  <c r="P79" i="1"/>
  <c r="Q79" i="1"/>
  <c r="R79" i="1"/>
  <c r="S79" i="1"/>
  <c r="T79" i="1"/>
  <c r="U79" i="1"/>
  <c r="P80" i="1"/>
  <c r="Q80" i="1"/>
  <c r="R80" i="1"/>
  <c r="S80" i="1"/>
  <c r="T80" i="1"/>
  <c r="U80" i="1"/>
  <c r="P81" i="1"/>
  <c r="Q81" i="1"/>
  <c r="R81" i="1"/>
  <c r="S81" i="1"/>
  <c r="T81" i="1"/>
  <c r="U81" i="1"/>
  <c r="P82" i="1"/>
  <c r="Q82" i="1"/>
  <c r="R82" i="1"/>
  <c r="S82" i="1"/>
  <c r="T82" i="1"/>
  <c r="U82" i="1"/>
  <c r="P83" i="1"/>
  <c r="Q83" i="1"/>
  <c r="R83" i="1"/>
  <c r="S83" i="1"/>
  <c r="T83" i="1"/>
  <c r="U83" i="1"/>
  <c r="P84" i="1"/>
  <c r="Q84" i="1"/>
  <c r="R84" i="1"/>
  <c r="S84" i="1"/>
  <c r="T84" i="1"/>
  <c r="U84" i="1"/>
  <c r="P85" i="1"/>
  <c r="Q85" i="1"/>
  <c r="R85" i="1"/>
  <c r="S85" i="1"/>
  <c r="T85" i="1"/>
  <c r="U85" i="1"/>
  <c r="P86" i="1"/>
  <c r="Q86" i="1"/>
  <c r="R86" i="1"/>
  <c r="S86" i="1"/>
  <c r="T86" i="1"/>
  <c r="U86" i="1"/>
  <c r="P87" i="1"/>
  <c r="Q87" i="1"/>
  <c r="R87" i="1"/>
  <c r="S87" i="1"/>
  <c r="T87" i="1"/>
  <c r="U87" i="1"/>
  <c r="P88" i="1"/>
  <c r="Q88" i="1"/>
  <c r="R88" i="1"/>
  <c r="S88" i="1"/>
  <c r="T88" i="1"/>
  <c r="U88" i="1"/>
  <c r="P89" i="1"/>
  <c r="Q89" i="1"/>
  <c r="R89" i="1"/>
  <c r="S89" i="1"/>
  <c r="T89" i="1"/>
  <c r="U89" i="1"/>
  <c r="P90" i="1"/>
  <c r="Q90" i="1"/>
  <c r="R90" i="1"/>
  <c r="S90" i="1"/>
  <c r="T90" i="1"/>
  <c r="U90" i="1"/>
  <c r="P91" i="1"/>
  <c r="Q91" i="1"/>
  <c r="R91" i="1"/>
  <c r="S91" i="1"/>
  <c r="T91" i="1"/>
  <c r="U91" i="1"/>
  <c r="P92" i="1"/>
  <c r="Q92" i="1"/>
  <c r="R92" i="1"/>
  <c r="S92" i="1"/>
  <c r="T92" i="1"/>
  <c r="U92" i="1"/>
  <c r="P93" i="1"/>
  <c r="Q93" i="1"/>
  <c r="R93" i="1"/>
  <c r="S93" i="1"/>
  <c r="T93" i="1"/>
  <c r="U93" i="1"/>
  <c r="P3" i="1"/>
  <c r="Q3" i="1"/>
  <c r="R3" i="1"/>
  <c r="S3" i="1"/>
  <c r="T3" i="1"/>
  <c r="U3" i="1"/>
  <c r="P4" i="1"/>
  <c r="Q4" i="1"/>
  <c r="R4" i="1"/>
  <c r="S4" i="1"/>
  <c r="T4" i="1"/>
  <c r="U4" i="1"/>
  <c r="P5" i="1"/>
  <c r="Q5" i="1"/>
  <c r="R5" i="1"/>
  <c r="S5" i="1"/>
  <c r="T5" i="1"/>
  <c r="U5" i="1"/>
  <c r="P6" i="1"/>
  <c r="Q6" i="1"/>
  <c r="R6" i="1"/>
  <c r="S6" i="1"/>
  <c r="T6" i="1"/>
  <c r="U6" i="1"/>
  <c r="P7" i="1"/>
  <c r="Q7" i="1"/>
  <c r="R7" i="1"/>
  <c r="S7" i="1"/>
  <c r="T7" i="1"/>
  <c r="U7" i="1"/>
  <c r="P8" i="1"/>
  <c r="Q8" i="1"/>
  <c r="R8" i="1"/>
  <c r="S8" i="1"/>
  <c r="T8" i="1"/>
  <c r="U8" i="1"/>
  <c r="P9" i="1"/>
  <c r="Q9" i="1"/>
  <c r="R9" i="1"/>
  <c r="S9" i="1"/>
  <c r="T9" i="1"/>
  <c r="U9" i="1"/>
  <c r="P10" i="1"/>
  <c r="Q10" i="1"/>
  <c r="R10" i="1"/>
  <c r="S10" i="1"/>
  <c r="T10" i="1"/>
  <c r="U10" i="1"/>
  <c r="P11" i="1"/>
  <c r="Q11" i="1"/>
  <c r="R11" i="1"/>
  <c r="S11" i="1"/>
  <c r="T11" i="1"/>
  <c r="U11" i="1"/>
  <c r="P12" i="1"/>
  <c r="Q12" i="1"/>
  <c r="R12" i="1"/>
  <c r="S12" i="1"/>
  <c r="T12" i="1"/>
  <c r="U12" i="1"/>
  <c r="P13" i="1"/>
  <c r="Q13" i="1"/>
  <c r="R13" i="1"/>
  <c r="S13" i="1"/>
  <c r="T13" i="1"/>
  <c r="U13" i="1"/>
  <c r="P14" i="1"/>
  <c r="Q14" i="1"/>
  <c r="R14" i="1"/>
  <c r="S14" i="1"/>
  <c r="T14" i="1"/>
  <c r="U14" i="1"/>
  <c r="P15" i="1"/>
  <c r="Q15" i="1"/>
  <c r="R15" i="1"/>
  <c r="S15" i="1"/>
  <c r="T15" i="1"/>
  <c r="U15" i="1"/>
  <c r="P16" i="1"/>
  <c r="Q16" i="1"/>
  <c r="R16" i="1"/>
  <c r="S16" i="1"/>
  <c r="T16" i="1"/>
  <c r="U16" i="1"/>
  <c r="P17" i="1"/>
  <c r="Q17" i="1"/>
  <c r="R17" i="1"/>
  <c r="S17" i="1"/>
  <c r="T17" i="1"/>
  <c r="U17" i="1"/>
  <c r="P18" i="1"/>
  <c r="Q18" i="1"/>
  <c r="R18" i="1"/>
  <c r="S18" i="1"/>
  <c r="T18" i="1"/>
  <c r="U18" i="1"/>
  <c r="P19" i="1"/>
  <c r="Q19" i="1"/>
  <c r="R19" i="1"/>
  <c r="S19" i="1"/>
  <c r="T19" i="1"/>
  <c r="U19" i="1"/>
  <c r="P20" i="1"/>
  <c r="Q20" i="1"/>
  <c r="R20" i="1"/>
  <c r="S20" i="1"/>
  <c r="T20" i="1"/>
  <c r="U20" i="1"/>
  <c r="P21" i="1"/>
  <c r="Q21" i="1"/>
  <c r="R21" i="1"/>
  <c r="S21" i="1"/>
  <c r="T21" i="1"/>
  <c r="U21" i="1"/>
  <c r="P22" i="1"/>
  <c r="Q22" i="1"/>
  <c r="R22" i="1"/>
  <c r="S22" i="1"/>
  <c r="T22" i="1"/>
  <c r="U22" i="1"/>
  <c r="P23" i="1"/>
  <c r="Q23" i="1"/>
  <c r="R23" i="1"/>
  <c r="S23" i="1"/>
  <c r="T23" i="1"/>
  <c r="U23" i="1"/>
  <c r="P24" i="1"/>
  <c r="Q24" i="1"/>
  <c r="R24" i="1"/>
  <c r="S24" i="1"/>
  <c r="T24" i="1"/>
  <c r="U24" i="1"/>
  <c r="P25" i="1"/>
  <c r="Q25" i="1"/>
  <c r="R25" i="1"/>
  <c r="S25" i="1"/>
  <c r="T25" i="1"/>
  <c r="U25" i="1"/>
  <c r="P26" i="1"/>
  <c r="Q26" i="1"/>
  <c r="R26" i="1"/>
  <c r="S26" i="1"/>
  <c r="T26" i="1"/>
  <c r="U26" i="1"/>
  <c r="P27" i="1"/>
  <c r="Q27" i="1"/>
  <c r="R27" i="1"/>
  <c r="S27" i="1"/>
  <c r="T27" i="1"/>
  <c r="U27" i="1"/>
  <c r="P28" i="1"/>
  <c r="Q28" i="1"/>
  <c r="R28" i="1"/>
  <c r="S28" i="1"/>
  <c r="T28" i="1"/>
  <c r="U28" i="1"/>
  <c r="P29" i="1"/>
  <c r="Q29" i="1"/>
  <c r="R29" i="1"/>
  <c r="S29" i="1"/>
  <c r="T29" i="1"/>
  <c r="U29" i="1"/>
  <c r="P30" i="1"/>
  <c r="Q30" i="1"/>
  <c r="R30" i="1"/>
  <c r="S30" i="1"/>
  <c r="T30" i="1"/>
  <c r="U30" i="1"/>
  <c r="P31" i="1"/>
  <c r="Q31" i="1"/>
  <c r="R31" i="1"/>
  <c r="S31" i="1"/>
  <c r="T31" i="1"/>
  <c r="U31" i="1"/>
  <c r="P32" i="1"/>
  <c r="Q32" i="1"/>
  <c r="R32" i="1"/>
  <c r="S32" i="1"/>
  <c r="T32" i="1"/>
  <c r="U32" i="1"/>
  <c r="P33" i="1"/>
  <c r="Q33" i="1"/>
  <c r="R33" i="1"/>
  <c r="S33" i="1"/>
  <c r="T33" i="1"/>
  <c r="U33" i="1"/>
  <c r="U2" i="1"/>
  <c r="T2" i="1"/>
  <c r="S2" i="1"/>
  <c r="R2" i="1"/>
  <c r="Q2" i="1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<sst xmlns="http://schemas.openxmlformats.org/spreadsheetml/2006/main" count="987" uniqueCount="363">
  <si>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</si>
  <si>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</si>
  <si>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</si>
  <si>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</si>
  <si>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</si>
  <si>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</si>
  <si>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</si>
  <si>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</si>
  <si>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</si>
  <si>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</si>
  <si>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</si>
  <si>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</si>
  <si>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</si>
  <si>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</si>
  <si>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</si>
  <si>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</si>
  <si>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</si>
  <si>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</si>
  <si>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</si>
  <si>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</si>
  <si>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</si>
  <si>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</si>
  <si>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</si>
  <si>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</si>
  <si>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</si>
  <si>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R</t>
  </si>
  <si>
    <t>Ra1</t>
  </si>
  <si>
    <t>https://www.sigmaaldrich.com/KR/en/product/aldrich/359238</t>
  </si>
  <si>
    <t>(3-Aminopropyl)triethoxysilane</t>
  </si>
  <si>
    <t>100 mL</t>
  </si>
  <si>
    <t>919-30-2</t>
  </si>
  <si>
    <t>F</t>
  </si>
  <si>
    <t>Fa1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</si>
  <si>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</si>
  <si>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</si>
  <si>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</si>
  <si>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</si>
  <si>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</si>
  <si>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</si>
  <si>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</si>
  <si>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</si>
  <si>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</si>
  <si>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</si>
  <si>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</si>
  <si>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</si>
  <si>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</si>
  <si>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</si>
  <si>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</si>
  <si>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</si>
  <si>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</si>
  <si>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</si>
  <si>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</si>
  <si>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</si>
  <si>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</si>
  <si>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</si>
  <si>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</si>
  <si>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</si>
  <si>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</si>
  <si>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</si>
  <si>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</si>
  <si>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</si>
  <si>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</si>
  <si>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</si>
  <si>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</si>
  <si>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</si>
  <si>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</si>
  <si>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</si>
  <si>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</si>
  <si>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</si>
  <si>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</si>
  <si>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</si>
  <si>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</si>
  <si>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● 독성, ■ 환경유해</t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</si>
  <si>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</si>
  <si>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</si>
  <si>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</si>
  <si>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</si>
  <si>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</si>
  <si>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</si>
  <si>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</si>
  <si>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</si>
  <si>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</si>
  <si>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</si>
  <si>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</si>
  <si>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</si>
  <si>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</si>
  <si>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</si>
  <si>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</si>
  <si>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</si>
  <si>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</si>
  <si>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</si>
  <si>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</si>
  <si>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</si>
  <si>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</si>
  <si>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</si>
  <si>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</si>
  <si>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</si>
  <si>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</si>
  <si>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</si>
  <si>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</si>
  <si>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</si>
  <si>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</si>
  <si>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</si>
  <si>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</si>
  <si>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</si>
  <si>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</si>
  <si>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</si>
  <si>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</si>
  <si>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</si>
  <si>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</si>
  <si>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</si>
  <si>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</si>
  <si>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</si>
  <si>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</si>
  <si>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</si>
  <si>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</si>
  <si>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</si>
  <si>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</si>
  <si>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</si>
  <si>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</si>
  <si>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</si>
  <si>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</si>
  <si>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</si>
  <si>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</si>
  <si>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</si>
  <si>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</si>
  <si>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</si>
  <si>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</si>
  <si>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</si>
  <si>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</si>
  <si>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</si>
  <si>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</si>
  <si>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</si>
  <si>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</si>
  <si>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</si>
  <si>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</si>
  <si>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</si>
  <si>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</si>
  <si>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</si>
  <si>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</si>
  <si>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</si>
  <si>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</si>
  <si>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</si>
  <si>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</si>
  <si>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</si>
  <si>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</si>
  <si>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</si>
  <si>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</si>
  <si>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</si>
  <si>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</si>
  <si>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</si>
  <si>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</si>
  <si>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</si>
  <si>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</si>
  <si>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</si>
  <si>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</si>
  <si>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</si>
  <si>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</si>
  <si>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</si>
  <si>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</si>
  <si>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</si>
  <si>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</si>
  <si>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</si>
  <si>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</si>
  <si>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</si>
  <si>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</si>
  <si>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</si>
  <si>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</si>
  <si>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</si>
  <si>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</si>
  <si>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</si>
  <si>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</si>
  <si>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</si>
  <si>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</si>
  <si>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</si>
  <si>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</si>
  <si>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</si>
  <si>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</si>
  <si>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</si>
  <si>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</si>
  <si>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</si>
  <si>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</si>
  <si>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</si>
  <si>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</si>
  <si>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</si>
  <si>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</si>
  <si>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</si>
  <si>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</si>
  <si>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</si>
  <si>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</si>
  <si>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</si>
  <si>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</si>
  <si>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</si>
  <si>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</si>
  <si>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</si>
  <si>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</si>
  <si>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</si>
  <si>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</si>
  <si>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</si>
  <si>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</si>
  <si>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</si>
  <si>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</si>
  <si>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</si>
  <si>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</si>
  <si>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</si>
  <si>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</si>
  <si>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</si>
  <si>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</si>
  <si>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</si>
  <si>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</si>
  <si>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</si>
  <si>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</si>
  <si>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</si>
  <si>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</si>
  <si>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</si>
  <si>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</si>
  <si>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</si>
  <si>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</si>
  <si>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</si>
  <si>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</si>
  <si>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</si>
  <si>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</si>
  <si>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</si>
  <si>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</si>
  <si>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</si>
  <si>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</si>
  <si>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</si>
  <si>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</si>
  <si>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</si>
  <si>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</si>
  <si>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</si>
  <si>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</si>
  <si>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</si>
  <si>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</si>
  <si>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</si>
  <si>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▲ 경고</t>
  </si>
  <si>
    <t>● 독성, ◆ 자극성/과민성</t>
  </si>
  <si>
    <t>H301: Toxic if swallowed / H319: Causes serious eye irritation</t>
  </si>
  <si>
    <t>https://www.sigmaaldrich.com/KR/ko/product/aldrich/659452</t>
  </si>
  <si>
    <t>https://www.sigmaaldrich.com/KR/ko/sds/aldrich/659452</t>
  </si>
  <si>
    <t>26-0340</t>
  </si>
  <si>
    <t>6/19</t>
  </si>
  <si>
    <t>Acetaldehyde</t>
  </si>
  <si>
    <t>75-07-0</t>
  </si>
  <si>
    <t>★ 인화성, ◆ 자극성/과민성, ▼ 건강유해</t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</si>
  <si>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</si>
  <si>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</si>
  <si>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</si>
  <si>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26-0339</t>
  </si>
  <si>
    <t>Chloranil</t>
  </si>
  <si>
    <t>118-75-2</t>
  </si>
  <si>
    <t>2-30°c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</si>
  <si>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</si>
  <si>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</si>
  <si>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</si>
  <si>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</si>
  <si>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</si>
  <si>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</si>
  <si>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</si>
  <si>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</si>
  <si>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</si>
  <si>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</si>
  <si>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</si>
  <si>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</si>
  <si>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</si>
  <si>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</si>
  <si>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SDS_Local_Path</t>
  </si>
  <si>
    <t>Revision Date</t>
  </si>
  <si>
    <t>정보 없음</t>
  </si>
  <si>
    <t>p-Chloranil</t>
  </si>
  <si>
    <t>Sigma-Aldrich</t>
  </si>
  <si>
    <t>440140</t>
  </si>
  <si>
    <t>2026-08-10 19:00:18</t>
  </si>
  <si>
    <t>131377</t>
  </si>
  <si>
    <t>2026-08-10 20:59:31</t>
  </si>
  <si>
    <t>Acrylic anhydride</t>
  </si>
  <si>
    <t>2051-76-5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</si>
  <si>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</si>
  <si>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</si>
  <si>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</si>
  <si>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</si>
  <si>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</si>
  <si>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</si>
  <si>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</si>
  <si>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</si>
  <si>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</si>
  <si>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</si>
  <si>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</si>
  <si>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</si>
  <si>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</si>
  <si>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</si>
  <si>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</si>
  <si>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</si>
  <si>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</si>
  <si>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</si>
  <si>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</si>
  <si>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</si>
  <si>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</si>
  <si>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TCI</t>
  </si>
  <si>
    <t>C0119</t>
  </si>
  <si>
    <t>1,1'-Carbonyldiimidazole</t>
  </si>
  <si>
    <t>530-62-1</t>
  </si>
  <si>
    <t>https://www.tcichemicals.com/KR/en/p/C0119</t>
  </si>
  <si>
    <t>2026-08-10 15:42:47</t>
  </si>
  <si>
    <t>T0751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</si>
  <si>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</si>
  <si>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</si>
  <si>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</si>
  <si>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</si>
  <si>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</si>
  <si>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</si>
  <si>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</si>
  <si>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</si>
  <si>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</si>
  <si>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</si>
  <si>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</si>
  <si>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</si>
  <si>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</si>
  <si>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</si>
  <si>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</si>
  <si>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</si>
  <si>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</si>
  <si>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</si>
  <si>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</si>
  <si>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</si>
  <si>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</si>
  <si>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</si>
  <si>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</si>
  <si>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사용자 직접 입력 요망</t>
  </si>
  <si>
    <t>H319: Causes serious eye irritation / H301: Toxic if swallowed</t>
  </si>
  <si>
    <t>https://www.sigmaaldrich.com/KR/en/product/aldrich/659452</t>
  </si>
  <si>
    <t>C:\Users\Jeonghun Lee\.gemini\antigravity\scratch\chemical manager\sds\1-Adamantanethiol.pdf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</si>
  <si>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</si>
  <si>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</si>
  <si>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</si>
  <si>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</si>
  <si>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</si>
  <si>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</si>
  <si>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</si>
  <si>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</si>
  <si>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</si>
  <si>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</si>
  <si>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</si>
  <si>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</si>
  <si>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</si>
  <si>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</si>
  <si>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</si>
  <si>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</si>
  <si>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</si>
  <si>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</si>
  <si>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</si>
  <si>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</si>
  <si>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</si>
  <si>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</si>
  <si>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</si>
  <si>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</si>
  <si>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</si>
  <si>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Fff</t>
    <phoneticPr fontId="1" type="noConversion"/>
  </si>
  <si>
    <t>Made By Nki</t>
    <phoneticPr fontId="1" type="noConversion"/>
  </si>
  <si>
    <t>440140</t>
    <phoneticPr fontId="1" type="noConversion"/>
  </si>
  <si>
    <t>131377</t>
    <phoneticPr fontId="1" type="noConversion"/>
  </si>
  <si>
    <t>94884</t>
    <phoneticPr fontId="1" type="noConversion"/>
  </si>
  <si>
    <t>359238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</si>
</sst>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</cellXfs>
  <cellStyles count="1">
    <cellStyle name="표준" xfId="0" builtinId="0"/>
  </cellStyles>
  <dxfs count="11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2" sqref="P2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7" width="10.625" style="14" customWidth="1"/>
    <col min="8" max="8" width="10.625" style="27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356</v>
      </c>
      <c r="F2" s="8" t="s">
        <v>23</v>
      </c>
      <c r="G2" s="7" t="s">
        <v>24</v>
      </c>
      <c r="H2" s="24" t="s">
        <v>362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  <c r="P2" s="14">
        <f>_xlfn.IFNA(VLOOKUP($H2,DB!$B:$M,5,FALSE),"")</f>
        <v>0</v>
      </c>
      <c r="Q2" s="14">
        <f>_xlfn.IFNA(VLOOKUP($H2,DB!$B:$M,6,FALSE),"")</f>
        <v>0</v>
      </c>
      <c r="R2" s="14">
        <f>_xlfn.IFNA(VLOOKUP($H2,DB!$B:$M,7,FALSE),"")</f>
        <v>0</v>
      </c>
      <c r="S2" s="14">
        <f>_xlfn.IFNA(VLOOKUP($H2,DB!$B:$M,8,FALSE),"")</f>
        <v>0</v>
      </c>
      <c r="T2" s="14" t="str">
        <f>_xlfn.IFNA(VLOOKUP($H2,DB!$B:$M,9,FALSE),"")</f>
        <v>https://www.sigmaaldrich.com/KR/en/product/aldrich/359238</v>
      </c>
      <c r="U2" s="14" t="str">
        <f>_xlfn.IFNA(VLOOKUP($H2,DB!$B:$M,10,FALSE),"")</f>
        <v>정보 없음</v>
      </c>
    </row>
    <row r="3" spans="1:21">
      <c r="C3" s="10"/>
      <c r="D3" s="6" t="s">
        <v>28</v>
      </c>
      <c r="E3" s="10" t="s">
        <v>356</v>
      </c>
      <c r="F3" s="8" t="s">
        <v>29</v>
      </c>
      <c r="G3" s="7" t="s">
        <v>30</v>
      </c>
      <c r="H3" s="24" t="s">
        <v>359</v>
      </c>
      <c r="I3" s="1">
        <v>1018</v>
      </c>
      <c r="J3" s="1" t="s">
        <v>31</v>
      </c>
      <c r="K3" s="1" t="s">
        <v>32</v>
      </c>
      <c r="L3" s="8">
        <v>1</v>
      </c>
      <c r="N3" s="1">
        <f t="shared" si="0"/>
        <v>1</v>
      </c>
      <c r="P3" s="14" t="str">
        <f>_xlfn.IFNA(VLOOKUP($H3,DB!$B:$M,5,FALSE),"")</f>
        <v>N/A</v>
      </c>
      <c r="Q3" s="14" t="str">
        <f>_xlfn.IFNA(VLOOKUP($H3,DB!$B:$M,6,FALSE),"")</f>
        <v>● 위험</v>
      </c>
      <c r="R3" s="14" t="str">
        <f>_xlfn.IFNA(VLOOKUP($H3,DB!$B:$M,7,FALSE),"")</f>
        <v>▲ 부식성/눈손상</v>
      </c>
      <c r="S3" s="14" t="str">
        <f>_xlfn.IFNA(VLOOKUP($H3,DB!$B:$M,8,FALSE),"")</f>
        <v>H302: Harmful if swallowed / H314: Causes severe skin burns and eye damage / H317: May cause an allergic skin reaction</v>
      </c>
      <c r="T3" s="14" t="str">
        <f>_xlfn.IFNA(VLOOKUP($H3,DB!$B:$M,9,FALSE),"")</f>
        <v>https://www.sigmaaldrich.com/KR/ko/product/aldrich/440140</v>
      </c>
      <c r="U3" s="14" t="str">
        <f>_xlfn.IFNA(VLOOKUP($H3,DB!$B:$M,10,FALSE),"")</f>
        <v>https://www.sigmaaldrich.com/KR/ko/sds/aldrich/440140</v>
      </c>
    </row>
    <row r="4" spans="1:21">
      <c r="A4" s="1" t="s">
        <v>38</v>
      </c>
      <c r="B4" s="3" t="s">
        <v>39</v>
      </c>
      <c r="C4" s="1" t="s">
        <v>40</v>
      </c>
      <c r="D4" s="1" t="s">
        <v>41</v>
      </c>
      <c r="E4" s="1"/>
      <c r="F4" s="1"/>
      <c r="G4" s="1"/>
      <c r="H4" s="3"/>
      <c r="I4" s="1">
        <v>1018</v>
      </c>
      <c r="J4" s="1"/>
      <c r="K4" s="1" t="s">
        <v>42</v>
      </c>
      <c r="L4" s="1"/>
      <c r="M4" s="1">
        <v>1</v>
      </c>
      <c r="N4" s="1" t="str">
        <f t="shared" si="0"/>
        <v>X</v>
      </c>
      <c r="O4" s="1"/>
      <c r="P4" s="14" t="str">
        <f>_xlfn.IFNA(VLOOKUP($H4,DB!$B:$M,5,FALSE),"")</f>
        <v/>
      </c>
      <c r="Q4" s="14" t="str">
        <f>_xlfn.IFNA(VLOOKUP($H4,DB!$B:$M,6,FALSE),"")</f>
        <v/>
      </c>
      <c r="R4" s="14" t="str">
        <f>_xlfn.IFNA(VLOOKUP($H4,DB!$B:$M,7,FALSE),"")</f>
        <v/>
      </c>
      <c r="S4" s="14" t="str">
        <f>_xlfn.IFNA(VLOOKUP($H4,DB!$B:$M,8,FALSE),"")</f>
        <v/>
      </c>
      <c r="T4" s="14" t="str">
        <f>_xlfn.IFNA(VLOOKUP($H4,DB!$B:$M,9,FALSE),"")</f>
        <v/>
      </c>
      <c r="U4" s="14" t="str">
        <f>_xlfn.IFNA(VLOOKUP($H4,DB!$B:$M,10,FALSE),"")</f>
        <v/>
      </c>
    </row>
    <row r="5" spans="1:21">
      <c r="A5" s="1"/>
      <c r="B5" s="3"/>
      <c r="C5" s="1" t="s">
        <v>43</v>
      </c>
      <c r="D5" s="1" t="s">
        <v>44</v>
      </c>
      <c r="E5" s="1">
        <v>1</v>
      </c>
      <c r="F5" s="1">
        <v>1</v>
      </c>
      <c r="G5" s="1" t="s">
        <v>45</v>
      </c>
      <c r="H5" s="3">
        <v>1</v>
      </c>
      <c r="I5" s="1">
        <v>1001</v>
      </c>
      <c r="J5" s="1" t="s">
        <v>46</v>
      </c>
      <c r="K5" s="1" t="s">
        <v>47</v>
      </c>
      <c r="L5" s="1">
        <v>2</v>
      </c>
      <c r="M5" s="1"/>
      <c r="N5" s="1">
        <f t="shared" si="0"/>
        <v>2</v>
      </c>
      <c r="O5" s="1"/>
      <c r="P5" s="14">
        <f>_xlfn.IFNA(VLOOKUP($H5,DB!$B:$M,5,FALSE),"")</f>
        <v>0</v>
      </c>
      <c r="Q5" s="14">
        <f>_xlfn.IFNA(VLOOKUP($H5,DB!$B:$M,6,FALSE),"")</f>
        <v>0</v>
      </c>
      <c r="R5" s="14">
        <f>_xlfn.IFNA(VLOOKUP($H5,DB!$B:$M,7,FALSE),"")</f>
        <v>0</v>
      </c>
      <c r="S5" s="14">
        <f>_xlfn.IFNA(VLOOKUP($H5,DB!$B:$M,8,FALSE),"")</f>
        <v>0</v>
      </c>
      <c r="T5" s="14" t="str">
        <f>_xlfn.IFNA(VLOOKUP($H5,DB!$B:$M,9,FALSE),"")</f>
        <v>사용자 직접 입력 요망</v>
      </c>
      <c r="U5" s="14">
        <f>_xlfn.IFNA(VLOOKUP($H5,DB!$B:$M,10,FALSE),"")</f>
        <v>0</v>
      </c>
    </row>
    <row r="6" spans="1:21">
      <c r="A6" s="1" t="s">
        <v>48</v>
      </c>
      <c r="B6" s="3" t="s">
        <v>49</v>
      </c>
      <c r="C6" s="1" t="s">
        <v>43</v>
      </c>
      <c r="D6" s="1" t="s">
        <v>44</v>
      </c>
      <c r="E6" s="1">
        <v>1</v>
      </c>
      <c r="F6" s="1">
        <v>1</v>
      </c>
      <c r="G6" s="1" t="s">
        <v>45</v>
      </c>
      <c r="H6" s="3">
        <v>1</v>
      </c>
      <c r="I6" s="1"/>
      <c r="J6" s="1" t="s">
        <v>46</v>
      </c>
      <c r="K6" s="1"/>
      <c r="L6" s="1">
        <v>2</v>
      </c>
      <c r="M6" s="1"/>
      <c r="N6" s="1">
        <f t="shared" si="0"/>
        <v>2</v>
      </c>
      <c r="O6" s="1"/>
      <c r="P6" s="14">
        <f>_xlfn.IFNA(VLOOKUP($H6,DB!$B:$M,5,FALSE),"")</f>
        <v>0</v>
      </c>
      <c r="Q6" s="14">
        <f>_xlfn.IFNA(VLOOKUP($H6,DB!$B:$M,6,FALSE),"")</f>
        <v>0</v>
      </c>
      <c r="R6" s="14">
        <f>_xlfn.IFNA(VLOOKUP($H6,DB!$B:$M,7,FALSE),"")</f>
        <v>0</v>
      </c>
      <c r="S6" s="14">
        <f>_xlfn.IFNA(VLOOKUP($H6,DB!$B:$M,8,FALSE),"")</f>
        <v>0</v>
      </c>
      <c r="T6" s="14" t="str">
        <f>_xlfn.IFNA(VLOOKUP($H6,DB!$B:$M,9,FALSE),"")</f>
        <v>사용자 직접 입력 요망</v>
      </c>
      <c r="U6" s="14">
        <f>_xlfn.IFNA(VLOOKUP($H6,DB!$B:$M,10,FALSE),"")</f>
        <v>0</v>
      </c>
    </row>
    <row r="7" spans="1:21">
      <c r="A7" s="1"/>
      <c r="B7" s="3"/>
      <c r="C7" s="1" t="s">
        <v>40</v>
      </c>
      <c r="D7" s="1" t="s">
        <v>50</v>
      </c>
      <c r="E7" s="1" t="s">
        <v>357</v>
      </c>
      <c r="F7" s="1" t="s">
        <v>52</v>
      </c>
      <c r="G7" s="1" t="s">
        <v>53</v>
      </c>
      <c r="H7" s="3" t="s">
        <v>54</v>
      </c>
      <c r="I7" s="1">
        <v>1018</v>
      </c>
      <c r="J7" s="1" t="s">
        <v>55</v>
      </c>
      <c r="K7" s="1" t="s">
        <v>56</v>
      </c>
      <c r="L7" s="1">
        <v>2</v>
      </c>
      <c r="M7" s="1">
        <v>1</v>
      </c>
      <c r="N7" s="1">
        <f t="shared" si="0"/>
        <v>1</v>
      </c>
      <c r="O7" s="1"/>
      <c r="P7" s="14">
        <f>_xlfn.IFNA(VLOOKUP($H7,DB!$B:$M,5,FALSE),"")</f>
        <v>0</v>
      </c>
      <c r="Q7" s="14">
        <f>_xlfn.IFNA(VLOOKUP($H7,DB!$B:$M,6,FALSE),"")</f>
        <v>0</v>
      </c>
      <c r="R7" s="14">
        <f>_xlfn.IFNA(VLOOKUP($H7,DB!$B:$M,7,FALSE),"")</f>
        <v>0</v>
      </c>
      <c r="S7" s="14">
        <f>_xlfn.IFNA(VLOOKUP($H7,DB!$B:$M,8,FALSE),"")</f>
        <v>0</v>
      </c>
      <c r="T7" s="14" t="str">
        <f>_xlfn.IFNA(VLOOKUP($H7,DB!$B:$M,9,FALSE),"")</f>
        <v>사용자 직접 입력 요망</v>
      </c>
      <c r="U7" s="14">
        <f>_xlfn.IFNA(VLOOKUP($H7,DB!$B:$M,10,FALSE),"")</f>
        <v>0</v>
      </c>
    </row>
    <row r="8" spans="1:21">
      <c r="A8" s="1" t="s">
        <v>57</v>
      </c>
      <c r="B8" s="3" t="s">
        <v>58</v>
      </c>
      <c r="C8" s="1" t="s">
        <v>40</v>
      </c>
      <c r="D8" s="1" t="s">
        <v>50</v>
      </c>
      <c r="E8" s="1" t="s">
        <v>357</v>
      </c>
      <c r="F8" s="1" t="s">
        <v>52</v>
      </c>
      <c r="G8" s="1" t="s">
        <v>53</v>
      </c>
      <c r="H8" s="3" t="s">
        <v>54</v>
      </c>
      <c r="I8" s="1"/>
      <c r="J8" s="1" t="s">
        <v>55</v>
      </c>
      <c r="K8" s="1"/>
      <c r="L8" s="1">
        <v>2</v>
      </c>
      <c r="M8" s="1"/>
      <c r="N8" s="1">
        <f t="shared" si="0"/>
        <v>2</v>
      </c>
      <c r="O8" s="1"/>
      <c r="P8" s="14">
        <f>_xlfn.IFNA(VLOOKUP($H8,DB!$B:$M,5,FALSE),"")</f>
        <v>0</v>
      </c>
      <c r="Q8" s="14">
        <f>_xlfn.IFNA(VLOOKUP($H8,DB!$B:$M,6,FALSE),"")</f>
        <v>0</v>
      </c>
      <c r="R8" s="14">
        <f>_xlfn.IFNA(VLOOKUP($H8,DB!$B:$M,7,FALSE),"")</f>
        <v>0</v>
      </c>
      <c r="S8" s="14">
        <f>_xlfn.IFNA(VLOOKUP($H8,DB!$B:$M,8,FALSE),"")</f>
        <v>0</v>
      </c>
      <c r="T8" s="14" t="str">
        <f>_xlfn.IFNA(VLOOKUP($H8,DB!$B:$M,9,FALSE),"")</f>
        <v>사용자 직접 입력 요망</v>
      </c>
      <c r="U8" s="14">
        <f>_xlfn.IFNA(VLOOKUP($H8,DB!$B:$M,10,FALSE),"")</f>
        <v>0</v>
      </c>
    </row>
    <row r="9" spans="1:21">
      <c r="A9" s="1" t="s">
        <v>59</v>
      </c>
      <c r="B9" s="3" t="s">
        <v>58</v>
      </c>
      <c r="C9" s="1" t="s">
        <v>40</v>
      </c>
      <c r="D9" s="1" t="s">
        <v>60</v>
      </c>
      <c r="E9" s="1" t="s">
        <v>357</v>
      </c>
      <c r="F9" s="1" t="s">
        <v>52</v>
      </c>
      <c r="G9" s="1" t="s">
        <v>53</v>
      </c>
      <c r="H9" s="3" t="s">
        <v>54</v>
      </c>
      <c r="I9" s="1">
        <v>1018</v>
      </c>
      <c r="J9" s="1" t="s">
        <v>46</v>
      </c>
      <c r="K9" s="1" t="s">
        <v>47</v>
      </c>
      <c r="L9" s="1">
        <v>2</v>
      </c>
      <c r="M9" s="1"/>
      <c r="N9" s="1">
        <f t="shared" si="0"/>
        <v>2</v>
      </c>
      <c r="O9" s="1"/>
      <c r="P9" s="14">
        <f>_xlfn.IFNA(VLOOKUP($H9,DB!$B:$M,5,FALSE),"")</f>
        <v>0</v>
      </c>
      <c r="Q9" s="14">
        <f>_xlfn.IFNA(VLOOKUP($H9,DB!$B:$M,6,FALSE),"")</f>
        <v>0</v>
      </c>
      <c r="R9" s="14">
        <f>_xlfn.IFNA(VLOOKUP($H9,DB!$B:$M,7,FALSE),"")</f>
        <v>0</v>
      </c>
      <c r="S9" s="14">
        <f>_xlfn.IFNA(VLOOKUP($H9,DB!$B:$M,8,FALSE),"")</f>
        <v>0</v>
      </c>
      <c r="T9" s="14" t="str">
        <f>_xlfn.IFNA(VLOOKUP($H9,DB!$B:$M,9,FALSE),"")</f>
        <v>사용자 직접 입력 요망</v>
      </c>
      <c r="U9" s="14">
        <f>_xlfn.IFNA(VLOOKUP($H9,DB!$B:$M,10,FALSE),"")</f>
        <v>0</v>
      </c>
    </row>
    <row r="10" spans="1:21">
      <c r="A10" s="1"/>
      <c r="B10" s="3"/>
      <c r="C10" s="1" t="s">
        <v>40</v>
      </c>
      <c r="D10" s="1" t="s">
        <v>61</v>
      </c>
      <c r="E10" s="1"/>
      <c r="F10" s="1"/>
      <c r="G10" s="1"/>
      <c r="H10" s="3"/>
      <c r="I10" s="1">
        <v>1001</v>
      </c>
      <c r="J10" s="1" t="s">
        <v>46</v>
      </c>
      <c r="K10" s="1" t="s">
        <v>62</v>
      </c>
      <c r="L10" s="1"/>
      <c r="M10" s="1"/>
      <c r="N10" s="1" t="str">
        <f t="shared" si="0"/>
        <v>X</v>
      </c>
      <c r="O10" s="1"/>
      <c r="P10" s="14" t="str">
        <f>_xlfn.IFNA(VLOOKUP($H10,DB!$B:$M,5,FALSE),"")</f>
        <v/>
      </c>
      <c r="Q10" s="14" t="str">
        <f>_xlfn.IFNA(VLOOKUP($H10,DB!$B:$M,6,FALSE),"")</f>
        <v/>
      </c>
      <c r="R10" s="14" t="str">
        <f>_xlfn.IFNA(VLOOKUP($H10,DB!$B:$M,7,FALSE),"")</f>
        <v/>
      </c>
      <c r="S10" s="14" t="str">
        <f>_xlfn.IFNA(VLOOKUP($H10,DB!$B:$M,8,FALSE),"")</f>
        <v/>
      </c>
      <c r="T10" s="14" t="str">
        <f>_xlfn.IFNA(VLOOKUP($H10,DB!$B:$M,9,FALSE),"")</f>
        <v/>
      </c>
      <c r="U10" s="14" t="str">
        <f>_xlfn.IFNA(VLOOKUP($H10,DB!$B:$M,10,FALSE),"")</f>
        <v/>
      </c>
    </row>
    <row r="11" spans="1:21">
      <c r="A11" s="1" t="s">
        <v>63</v>
      </c>
      <c r="B11" s="3" t="s">
        <v>64</v>
      </c>
      <c r="C11" s="1" t="s">
        <v>40</v>
      </c>
      <c r="D11" s="1" t="s">
        <v>61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14" t="str">
        <f>_xlfn.IFNA(VLOOKUP($H11,DB!$B:$M,5,FALSE),"")</f>
        <v/>
      </c>
      <c r="Q11" s="14" t="str">
        <f>_xlfn.IFNA(VLOOKUP($H11,DB!$B:$M,6,FALSE),"")</f>
        <v/>
      </c>
      <c r="R11" s="14" t="str">
        <f>_xlfn.IFNA(VLOOKUP($H11,DB!$B:$M,7,FALSE),"")</f>
        <v/>
      </c>
      <c r="S11" s="14" t="str">
        <f>_xlfn.IFNA(VLOOKUP($H11,DB!$B:$M,8,FALSE),"")</f>
        <v/>
      </c>
      <c r="T11" s="14" t="str">
        <f>_xlfn.IFNA(VLOOKUP($H11,DB!$B:$M,9,FALSE),"")</f>
        <v/>
      </c>
      <c r="U11" s="14" t="str">
        <f>_xlfn.IFNA(VLOOKUP($H11,DB!$B:$M,10,FALSE),"")</f>
        <v/>
      </c>
    </row>
    <row r="12" spans="1:21">
      <c r="C12" s="10"/>
      <c r="D12" s="6" t="s">
        <v>65</v>
      </c>
      <c r="E12" s="10"/>
      <c r="F12" s="8"/>
      <c r="G12" s="7"/>
      <c r="H12" s="24"/>
      <c r="I12" s="1">
        <v>309</v>
      </c>
      <c r="J12" s="1" t="s">
        <v>55</v>
      </c>
      <c r="K12" s="1" t="s">
        <v>62</v>
      </c>
      <c r="L12" s="8">
        <v>1</v>
      </c>
      <c r="N12" s="1">
        <f t="shared" si="0"/>
        <v>1</v>
      </c>
      <c r="P12" s="14" t="str">
        <f>_xlfn.IFNA(VLOOKUP($H12,DB!$B:$M,5,FALSE),"")</f>
        <v/>
      </c>
      <c r="Q12" s="14" t="str">
        <f>_xlfn.IFNA(VLOOKUP($H12,DB!$B:$M,6,FALSE),"")</f>
        <v/>
      </c>
      <c r="R12" s="14" t="str">
        <f>_xlfn.IFNA(VLOOKUP($H12,DB!$B:$M,7,FALSE),"")</f>
        <v/>
      </c>
      <c r="S12" s="14" t="str">
        <f>_xlfn.IFNA(VLOOKUP($H12,DB!$B:$M,8,FALSE),"")</f>
        <v/>
      </c>
      <c r="T12" s="14" t="str">
        <f>_xlfn.IFNA(VLOOKUP($H12,DB!$B:$M,9,FALSE),"")</f>
        <v/>
      </c>
      <c r="U12" s="14" t="str">
        <f>_xlfn.IFNA(VLOOKUP($H12,DB!$B:$M,10,FALSE),"")</f>
        <v/>
      </c>
    </row>
    <row r="13" spans="1:21">
      <c r="C13" s="10"/>
      <c r="D13" s="6" t="s">
        <v>66</v>
      </c>
      <c r="E13" s="10" t="s">
        <v>358</v>
      </c>
      <c r="F13" s="8"/>
      <c r="G13" s="7"/>
      <c r="H13" s="24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  <c r="P13" s="14" t="str">
        <f>_xlfn.IFNA(VLOOKUP($H13,DB!$B:$M,5,FALSE),"")</f>
        <v/>
      </c>
      <c r="Q13" s="14" t="str">
        <f>_xlfn.IFNA(VLOOKUP($H13,DB!$B:$M,6,FALSE),"")</f>
        <v/>
      </c>
      <c r="R13" s="14" t="str">
        <f>_xlfn.IFNA(VLOOKUP($H13,DB!$B:$M,7,FALSE),"")</f>
        <v/>
      </c>
      <c r="S13" s="14" t="str">
        <f>_xlfn.IFNA(VLOOKUP($H13,DB!$B:$M,8,FALSE),"")</f>
        <v/>
      </c>
      <c r="T13" s="14" t="str">
        <f>_xlfn.IFNA(VLOOKUP($H13,DB!$B:$M,9,FALSE),"")</f>
        <v/>
      </c>
      <c r="U13" s="14" t="str">
        <f>_xlfn.IFNA(VLOOKUP($H13,DB!$B:$M,10,FALSE),"")</f>
        <v/>
      </c>
    </row>
    <row r="14" spans="1:21">
      <c r="C14" s="10"/>
      <c r="D14" s="6" t="s">
        <v>67</v>
      </c>
      <c r="E14" s="10" t="s">
        <v>356</v>
      </c>
      <c r="F14" s="8" t="s">
        <v>29</v>
      </c>
      <c r="G14" s="10" t="s">
        <v>68</v>
      </c>
      <c r="H14" s="24" t="s">
        <v>361</v>
      </c>
      <c r="I14" s="1">
        <v>309</v>
      </c>
      <c r="J14" s="1" t="s">
        <v>55</v>
      </c>
      <c r="K14" s="1" t="s">
        <v>62</v>
      </c>
      <c r="L14" s="8">
        <v>1</v>
      </c>
      <c r="N14" s="1">
        <f t="shared" si="0"/>
        <v>1</v>
      </c>
      <c r="P14" s="14">
        <f>_xlfn.IFNA(VLOOKUP($H14,DB!$B:$M,5,FALSE),"")</f>
        <v>0</v>
      </c>
      <c r="Q14" s="14">
        <f>_xlfn.IFNA(VLOOKUP($H14,DB!$B:$M,6,FALSE),"")</f>
        <v>0</v>
      </c>
      <c r="R14" s="14">
        <f>_xlfn.IFNA(VLOOKUP($H14,DB!$B:$M,7,FALSE),"")</f>
        <v>0</v>
      </c>
      <c r="S14" s="14">
        <f>_xlfn.IFNA(VLOOKUP($H14,DB!$B:$M,8,FALSE),"")</f>
        <v>0</v>
      </c>
      <c r="T14" s="14" t="str">
        <f>_xlfn.IFNA(VLOOKUP($H14,DB!$B:$M,9,FALSE),"")</f>
        <v>정보 없음</v>
      </c>
      <c r="U14" s="14" t="str">
        <f>_xlfn.IFNA(VLOOKUP($H14,DB!$B:$M,10,FALSE),"")</f>
        <v>정보 없음</v>
      </c>
    </row>
    <row r="15" spans="1:21">
      <c r="C15" s="10"/>
      <c r="D15" s="6" t="s">
        <v>69</v>
      </c>
      <c r="E15" s="10" t="s">
        <v>356</v>
      </c>
      <c r="F15" s="8" t="s">
        <v>70</v>
      </c>
      <c r="G15" s="7" t="s">
        <v>71</v>
      </c>
      <c r="H15" s="24" t="s">
        <v>360</v>
      </c>
      <c r="I15" s="1">
        <v>1018</v>
      </c>
      <c r="J15" s="1" t="s">
        <v>55</v>
      </c>
      <c r="K15" s="1" t="s">
        <v>56</v>
      </c>
      <c r="L15" s="8">
        <v>1</v>
      </c>
      <c r="N15" s="1">
        <f t="shared" si="0"/>
        <v>1</v>
      </c>
      <c r="P15" s="14">
        <f>_xlfn.IFNA(VLOOKUP($H15,DB!$B:$M,5,FALSE),"")</f>
        <v>0</v>
      </c>
      <c r="Q15" s="14" t="str">
        <f>_xlfn.IFNA(VLOOKUP($H15,DB!$B:$M,6,FALSE),"")</f>
        <v>정보 없음</v>
      </c>
      <c r="R15" s="14" t="str">
        <f>_xlfn.IFNA(VLOOKUP($H15,DB!$B:$M,7,FALSE),"")</f>
        <v>● 독성, ■ 환경유해</v>
      </c>
      <c r="S15" s="14" t="str">
        <f>_xlfn.IFNA(VLOOKUP($H15,DB!$B:$M,8,FALSE),"")</f>
        <v>H301: Toxic if swallowed / H410: Very toxic to aquatic life with long lasting effects</v>
      </c>
      <c r="T15" s="14" t="str">
        <f>_xlfn.IFNA(VLOOKUP($H15,DB!$B:$M,9,FALSE),"")</f>
        <v>https://www.sigmaaldrich.com/KR/ko/product/aldrich/131377</v>
      </c>
      <c r="U15" s="14" t="str">
        <f>_xlfn.IFNA(VLOOKUP($H15,DB!$B:$M,10,FALSE),"")</f>
        <v>https://www.sigmaaldrich.com/KR/ko/sds/aldrich/131377</v>
      </c>
    </row>
    <row r="16" spans="1:21">
      <c r="A16" s="1" t="s">
        <v>76</v>
      </c>
      <c r="B16" s="3" t="s">
        <v>77</v>
      </c>
      <c r="C16" s="1" t="s">
        <v>43</v>
      </c>
      <c r="D16" s="1" t="s">
        <v>78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14" t="str">
        <f>_xlfn.IFNA(VLOOKUP($H16,DB!$B:$M,5,FALSE),"")</f>
        <v/>
      </c>
      <c r="Q16" s="14" t="str">
        <f>_xlfn.IFNA(VLOOKUP($H16,DB!$B:$M,6,FALSE),"")</f>
        <v/>
      </c>
      <c r="R16" s="14" t="str">
        <f>_xlfn.IFNA(VLOOKUP($H16,DB!$B:$M,7,FALSE),"")</f>
        <v/>
      </c>
      <c r="S16" s="14" t="str">
        <f>_xlfn.IFNA(VLOOKUP($H16,DB!$B:$M,8,FALSE),"")</f>
        <v/>
      </c>
      <c r="T16" s="14" t="str">
        <f>_xlfn.IFNA(VLOOKUP($H16,DB!$B:$M,9,FALSE),"")</f>
        <v/>
      </c>
      <c r="U16" s="14" t="str">
        <f>_xlfn.IFNA(VLOOKUP($H16,DB!$B:$M,10,FALSE),"")</f>
        <v/>
      </c>
    </row>
    <row r="17" spans="1:21">
      <c r="A17" s="1"/>
      <c r="B17" s="3"/>
      <c r="C17" s="1" t="s">
        <v>79</v>
      </c>
      <c r="D17" s="1" t="s">
        <v>80</v>
      </c>
      <c r="E17" s="1"/>
      <c r="F17" s="1"/>
      <c r="G17" s="1"/>
      <c r="H17" s="3"/>
      <c r="I17" s="1">
        <v>1001</v>
      </c>
      <c r="J17" s="1" t="s">
        <v>31</v>
      </c>
      <c r="K17" s="1" t="s">
        <v>26</v>
      </c>
      <c r="L17" s="1"/>
      <c r="M17" s="1"/>
      <c r="N17" s="1" t="str">
        <f t="shared" si="0"/>
        <v>X</v>
      </c>
      <c r="O17" s="1"/>
      <c r="P17" s="14" t="str">
        <f>_xlfn.IFNA(VLOOKUP($H17,DB!$B:$M,5,FALSE),"")</f>
        <v/>
      </c>
      <c r="Q17" s="14" t="str">
        <f>_xlfn.IFNA(VLOOKUP($H17,DB!$B:$M,6,FALSE),"")</f>
        <v/>
      </c>
      <c r="R17" s="14" t="str">
        <f>_xlfn.IFNA(VLOOKUP($H17,DB!$B:$M,7,FALSE),"")</f>
        <v/>
      </c>
      <c r="S17" s="14" t="str">
        <f>_xlfn.IFNA(VLOOKUP($H17,DB!$B:$M,8,FALSE),"")</f>
        <v/>
      </c>
      <c r="T17" s="14" t="str">
        <f>_xlfn.IFNA(VLOOKUP($H17,DB!$B:$M,9,FALSE),"")</f>
        <v/>
      </c>
      <c r="U17" s="14" t="str">
        <f>_xlfn.IFNA(VLOOKUP($H17,DB!$B:$M,10,FALSE),"")</f>
        <v/>
      </c>
    </row>
    <row r="18" spans="1:21">
      <c r="A18" s="1" t="s">
        <v>81</v>
      </c>
      <c r="B18" s="3" t="s">
        <v>82</v>
      </c>
      <c r="C18" s="1" t="s">
        <v>79</v>
      </c>
      <c r="D18" s="1" t="s">
        <v>80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14" t="str">
        <f>_xlfn.IFNA(VLOOKUP($H18,DB!$B:$M,5,FALSE),"")</f>
        <v/>
      </c>
      <c r="Q18" s="14" t="str">
        <f>_xlfn.IFNA(VLOOKUP($H18,DB!$B:$M,6,FALSE),"")</f>
        <v/>
      </c>
      <c r="R18" s="14" t="str">
        <f>_xlfn.IFNA(VLOOKUP($H18,DB!$B:$M,7,FALSE),"")</f>
        <v/>
      </c>
      <c r="S18" s="14" t="str">
        <f>_xlfn.IFNA(VLOOKUP($H18,DB!$B:$M,8,FALSE),"")</f>
        <v/>
      </c>
      <c r="T18" s="14" t="str">
        <f>_xlfn.IFNA(VLOOKUP($H18,DB!$B:$M,9,FALSE),"")</f>
        <v/>
      </c>
      <c r="U18" s="14" t="str">
        <f>_xlfn.IFNA(VLOOKUP($H18,DB!$B:$M,10,FALSE),"")</f>
        <v/>
      </c>
    </row>
    <row r="19" spans="1:21">
      <c r="A19" s="1"/>
      <c r="B19" s="3"/>
      <c r="C19" s="1" t="s">
        <v>83</v>
      </c>
      <c r="D19" s="1" t="s">
        <v>84</v>
      </c>
      <c r="E19" s="1" t="s">
        <v>356</v>
      </c>
      <c r="F19" s="1" t="s">
        <v>85</v>
      </c>
      <c r="G19" s="1" t="s">
        <v>86</v>
      </c>
      <c r="H19" s="3" t="s">
        <v>87</v>
      </c>
      <c r="I19" s="1">
        <v>309</v>
      </c>
      <c r="J19" s="1" t="s">
        <v>55</v>
      </c>
      <c r="K19" s="1" t="s">
        <v>62</v>
      </c>
      <c r="L19" s="1">
        <v>4</v>
      </c>
      <c r="M19" s="1"/>
      <c r="N19" s="1">
        <f t="shared" si="0"/>
        <v>4</v>
      </c>
      <c r="O19" s="1"/>
      <c r="P19" s="14">
        <f>_xlfn.IFNA(VLOOKUP($H19,DB!$B:$M,5,FALSE),"")</f>
        <v>0</v>
      </c>
      <c r="Q19" s="14">
        <f>_xlfn.IFNA(VLOOKUP($H19,DB!$B:$M,6,FALSE),"")</f>
        <v>0</v>
      </c>
      <c r="R19" s="14">
        <f>_xlfn.IFNA(VLOOKUP($H19,DB!$B:$M,7,FALSE),"")</f>
        <v>0</v>
      </c>
      <c r="S19" s="14">
        <f>_xlfn.IFNA(VLOOKUP($H19,DB!$B:$M,8,FALSE),"")</f>
        <v>0</v>
      </c>
      <c r="T19" s="14" t="str">
        <f>_xlfn.IFNA(VLOOKUP($H19,DB!$B:$M,9,FALSE),"")</f>
        <v>정보 없음</v>
      </c>
      <c r="U19" s="14" t="str">
        <f>_xlfn.IFNA(VLOOKUP($H19,DB!$B:$M,10,FALSE),"")</f>
        <v>정보 없음</v>
      </c>
    </row>
    <row r="20" spans="1:21">
      <c r="A20" s="1" t="s">
        <v>88</v>
      </c>
      <c r="B20" s="3" t="s">
        <v>89</v>
      </c>
      <c r="C20" s="1" t="s">
        <v>83</v>
      </c>
      <c r="D20" s="1" t="s">
        <v>84</v>
      </c>
      <c r="E20" s="1" t="s">
        <v>356</v>
      </c>
      <c r="F20" s="1" t="s">
        <v>85</v>
      </c>
      <c r="G20" s="1" t="s">
        <v>86</v>
      </c>
      <c r="H20" s="3" t="s">
        <v>87</v>
      </c>
      <c r="I20" s="1"/>
      <c r="J20" s="1" t="s">
        <v>55</v>
      </c>
      <c r="K20" s="1"/>
      <c r="L20" s="1">
        <v>4</v>
      </c>
      <c r="M20" s="1"/>
      <c r="N20" s="1">
        <f t="shared" si="0"/>
        <v>4</v>
      </c>
      <c r="O20" s="1"/>
      <c r="P20" s="14">
        <f>_xlfn.IFNA(VLOOKUP($H20,DB!$B:$M,5,FALSE),"")</f>
        <v>0</v>
      </c>
      <c r="Q20" s="14">
        <f>_xlfn.IFNA(VLOOKUP($H20,DB!$B:$M,6,FALSE),"")</f>
        <v>0</v>
      </c>
      <c r="R20" s="14">
        <f>_xlfn.IFNA(VLOOKUP($H20,DB!$B:$M,7,FALSE),"")</f>
        <v>0</v>
      </c>
      <c r="S20" s="14">
        <f>_xlfn.IFNA(VLOOKUP($H20,DB!$B:$M,8,FALSE),"")</f>
        <v>0</v>
      </c>
      <c r="T20" s="14" t="str">
        <f>_xlfn.IFNA(VLOOKUP($H20,DB!$B:$M,9,FALSE),"")</f>
        <v>정보 없음</v>
      </c>
      <c r="U20" s="14" t="str">
        <f>_xlfn.IFNA(VLOOKUP($H20,DB!$B:$M,10,FALSE),"")</f>
        <v>정보 없음</v>
      </c>
    </row>
    <row r="21" spans="1:21">
      <c r="A21" s="1" t="s">
        <v>90</v>
      </c>
      <c r="B21" s="3" t="s">
        <v>91</v>
      </c>
      <c r="C21" s="1" t="s">
        <v>92</v>
      </c>
      <c r="D21" s="1" t="s">
        <v>93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14" t="str">
        <f>_xlfn.IFNA(VLOOKUP($H21,DB!$B:$M,5,FALSE),"")</f>
        <v/>
      </c>
      <c r="Q21" s="14" t="str">
        <f>_xlfn.IFNA(VLOOKUP($H21,DB!$B:$M,6,FALSE),"")</f>
        <v/>
      </c>
      <c r="R21" s="14" t="str">
        <f>_xlfn.IFNA(VLOOKUP($H21,DB!$B:$M,7,FALSE),"")</f>
        <v/>
      </c>
      <c r="S21" s="14" t="str">
        <f>_xlfn.IFNA(VLOOKUP($H21,DB!$B:$M,8,FALSE),"")</f>
        <v/>
      </c>
      <c r="T21" s="14" t="str">
        <f>_xlfn.IFNA(VLOOKUP($H21,DB!$B:$M,9,FALSE),"")</f>
        <v/>
      </c>
      <c r="U21" s="14" t="str">
        <f>_xlfn.IFNA(VLOOKUP($H21,DB!$B:$M,10,FALSE),"")</f>
        <v/>
      </c>
    </row>
    <row r="22" spans="1:21">
      <c r="A22" s="1"/>
      <c r="B22" s="3"/>
      <c r="C22" s="1" t="s">
        <v>94</v>
      </c>
      <c r="D22" s="1" t="s">
        <v>95</v>
      </c>
      <c r="E22" s="1"/>
      <c r="F22" s="1"/>
      <c r="G22" s="1"/>
      <c r="H22" s="3"/>
      <c r="I22" s="1">
        <v>1018</v>
      </c>
      <c r="J22" s="1" t="s">
        <v>55</v>
      </c>
      <c r="K22" s="1" t="s">
        <v>26</v>
      </c>
      <c r="L22" s="1"/>
      <c r="M22" s="1"/>
      <c r="N22" s="1" t="str">
        <f t="shared" si="0"/>
        <v>X</v>
      </c>
      <c r="O22" s="1"/>
      <c r="P22" s="14" t="str">
        <f>_xlfn.IFNA(VLOOKUP($H22,DB!$B:$M,5,FALSE),"")</f>
        <v/>
      </c>
      <c r="Q22" s="14" t="str">
        <f>_xlfn.IFNA(VLOOKUP($H22,DB!$B:$M,6,FALSE),"")</f>
        <v/>
      </c>
      <c r="R22" s="14" t="str">
        <f>_xlfn.IFNA(VLOOKUP($H22,DB!$B:$M,7,FALSE),"")</f>
        <v/>
      </c>
      <c r="S22" s="14" t="str">
        <f>_xlfn.IFNA(VLOOKUP($H22,DB!$B:$M,8,FALSE),"")</f>
        <v/>
      </c>
      <c r="T22" s="14" t="str">
        <f>_xlfn.IFNA(VLOOKUP($H22,DB!$B:$M,9,FALSE),"")</f>
        <v/>
      </c>
      <c r="U22" s="14" t="str">
        <f>_xlfn.IFNA(VLOOKUP($H22,DB!$B:$M,10,FALSE),"")</f>
        <v/>
      </c>
    </row>
    <row r="23" spans="1:21">
      <c r="A23" s="1" t="s">
        <v>96</v>
      </c>
      <c r="B23" s="3" t="s">
        <v>97</v>
      </c>
      <c r="C23" s="1" t="s">
        <v>94</v>
      </c>
      <c r="D23" s="1" t="s">
        <v>95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14" t="str">
        <f>_xlfn.IFNA(VLOOKUP($H23,DB!$B:$M,5,FALSE),"")</f>
        <v/>
      </c>
      <c r="Q23" s="14" t="str">
        <f>_xlfn.IFNA(VLOOKUP($H23,DB!$B:$M,6,FALSE),"")</f>
        <v/>
      </c>
      <c r="R23" s="14" t="str">
        <f>_xlfn.IFNA(VLOOKUP($H23,DB!$B:$M,7,FALSE),"")</f>
        <v/>
      </c>
      <c r="S23" s="14" t="str">
        <f>_xlfn.IFNA(VLOOKUP($H23,DB!$B:$M,8,FALSE),"")</f>
        <v/>
      </c>
      <c r="T23" s="14" t="str">
        <f>_xlfn.IFNA(VLOOKUP($H23,DB!$B:$M,9,FALSE),"")</f>
        <v/>
      </c>
      <c r="U23" s="14" t="str">
        <f>_xlfn.IFNA(VLOOKUP($H23,DB!$B:$M,10,FALSE),"")</f>
        <v/>
      </c>
    </row>
    <row r="24" spans="1:21">
      <c r="A24" s="1" t="s">
        <v>98</v>
      </c>
      <c r="B24" s="3" t="s">
        <v>99</v>
      </c>
      <c r="C24" s="1" t="s">
        <v>100</v>
      </c>
      <c r="D24" s="1" t="s">
        <v>101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14" t="str">
        <f>_xlfn.IFNA(VLOOKUP($H24,DB!$B:$M,5,FALSE),"")</f>
        <v/>
      </c>
      <c r="Q24" s="14" t="str">
        <f>_xlfn.IFNA(VLOOKUP($H24,DB!$B:$M,6,FALSE),"")</f>
        <v/>
      </c>
      <c r="R24" s="14" t="str">
        <f>_xlfn.IFNA(VLOOKUP($H24,DB!$B:$M,7,FALSE),"")</f>
        <v/>
      </c>
      <c r="S24" s="14" t="str">
        <f>_xlfn.IFNA(VLOOKUP($H24,DB!$B:$M,8,FALSE),"")</f>
        <v/>
      </c>
      <c r="T24" s="14" t="str">
        <f>_xlfn.IFNA(VLOOKUP($H24,DB!$B:$M,9,FALSE),"")</f>
        <v/>
      </c>
      <c r="U24" s="14" t="str">
        <f>_xlfn.IFNA(VLOOKUP($H24,DB!$B:$M,10,FALSE),"")</f>
        <v/>
      </c>
    </row>
    <row r="25" spans="1:21">
      <c r="A25" s="1"/>
      <c r="B25" s="3"/>
      <c r="C25" s="1" t="s">
        <v>94</v>
      </c>
      <c r="D25" s="1" t="s">
        <v>102</v>
      </c>
      <c r="E25" s="1"/>
      <c r="F25" s="1"/>
      <c r="G25" s="1"/>
      <c r="H25" s="3"/>
      <c r="I25" s="1">
        <v>1001</v>
      </c>
      <c r="J25" s="1" t="s">
        <v>55</v>
      </c>
      <c r="K25" s="1" t="s">
        <v>47</v>
      </c>
      <c r="L25" s="1"/>
      <c r="M25" s="1"/>
      <c r="N25" s="1" t="str">
        <f t="shared" si="0"/>
        <v>X</v>
      </c>
      <c r="O25" s="1"/>
      <c r="P25" s="14" t="str">
        <f>_xlfn.IFNA(VLOOKUP($H25,DB!$B:$M,5,FALSE),"")</f>
        <v/>
      </c>
      <c r="Q25" s="14" t="str">
        <f>_xlfn.IFNA(VLOOKUP($H25,DB!$B:$M,6,FALSE),"")</f>
        <v/>
      </c>
      <c r="R25" s="14" t="str">
        <f>_xlfn.IFNA(VLOOKUP($H25,DB!$B:$M,7,FALSE),"")</f>
        <v/>
      </c>
      <c r="S25" s="14" t="str">
        <f>_xlfn.IFNA(VLOOKUP($H25,DB!$B:$M,8,FALSE),"")</f>
        <v/>
      </c>
      <c r="T25" s="14" t="str">
        <f>_xlfn.IFNA(VLOOKUP($H25,DB!$B:$M,9,FALSE),"")</f>
        <v/>
      </c>
      <c r="U25" s="14" t="str">
        <f>_xlfn.IFNA(VLOOKUP($H25,DB!$B:$M,10,FALSE),"")</f>
        <v/>
      </c>
    </row>
    <row r="26" spans="1:21">
      <c r="A26" s="1" t="s">
        <v>103</v>
      </c>
      <c r="B26" s="3" t="s">
        <v>104</v>
      </c>
      <c r="C26" s="1" t="s">
        <v>94</v>
      </c>
      <c r="D26" s="1" t="s">
        <v>102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14" t="str">
        <f>_xlfn.IFNA(VLOOKUP($H26,DB!$B:$M,5,FALSE),"")</f>
        <v/>
      </c>
      <c r="Q26" s="14" t="str">
        <f>_xlfn.IFNA(VLOOKUP($H26,DB!$B:$M,6,FALSE),"")</f>
        <v/>
      </c>
      <c r="R26" s="14" t="str">
        <f>_xlfn.IFNA(VLOOKUP($H26,DB!$B:$M,7,FALSE),"")</f>
        <v/>
      </c>
      <c r="S26" s="14" t="str">
        <f>_xlfn.IFNA(VLOOKUP($H26,DB!$B:$M,8,FALSE),"")</f>
        <v/>
      </c>
      <c r="T26" s="14" t="str">
        <f>_xlfn.IFNA(VLOOKUP($H26,DB!$B:$M,9,FALSE),"")</f>
        <v/>
      </c>
      <c r="U26" s="14" t="str">
        <f>_xlfn.IFNA(VLOOKUP($H26,DB!$B:$M,10,FALSE),"")</f>
        <v/>
      </c>
    </row>
    <row r="27" spans="1:21">
      <c r="A27" s="1" t="s">
        <v>105</v>
      </c>
      <c r="B27" s="3" t="s">
        <v>106</v>
      </c>
      <c r="C27" s="1" t="s">
        <v>94</v>
      </c>
      <c r="D27" s="1" t="s">
        <v>107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14" t="str">
        <f>_xlfn.IFNA(VLOOKUP($H27,DB!$B:$M,5,FALSE),"")</f>
        <v/>
      </c>
      <c r="Q27" s="14" t="str">
        <f>_xlfn.IFNA(VLOOKUP($H27,DB!$B:$M,6,FALSE),"")</f>
        <v/>
      </c>
      <c r="R27" s="14" t="str">
        <f>_xlfn.IFNA(VLOOKUP($H27,DB!$B:$M,7,FALSE),"")</f>
        <v/>
      </c>
      <c r="S27" s="14" t="str">
        <f>_xlfn.IFNA(VLOOKUP($H27,DB!$B:$M,8,FALSE),"")</f>
        <v/>
      </c>
      <c r="T27" s="14" t="str">
        <f>_xlfn.IFNA(VLOOKUP($H27,DB!$B:$M,9,FALSE),"")</f>
        <v/>
      </c>
      <c r="U27" s="14" t="str">
        <f>_xlfn.IFNA(VLOOKUP($H27,DB!$B:$M,10,FALSE),"")</f>
        <v/>
      </c>
    </row>
    <row r="28" spans="1:21">
      <c r="A28" s="1"/>
      <c r="B28" s="3"/>
      <c r="C28" s="1" t="s">
        <v>43</v>
      </c>
      <c r="D28" s="1" t="s">
        <v>108</v>
      </c>
      <c r="E28" s="1"/>
      <c r="F28" s="1"/>
      <c r="G28" s="1"/>
      <c r="H28" s="3"/>
      <c r="I28" s="1">
        <v>1001</v>
      </c>
      <c r="J28" s="1" t="s">
        <v>46</v>
      </c>
      <c r="K28" s="1" t="s">
        <v>47</v>
      </c>
      <c r="L28" s="1"/>
      <c r="M28" s="1"/>
      <c r="N28" s="1" t="str">
        <f t="shared" si="0"/>
        <v>X</v>
      </c>
      <c r="O28" s="1"/>
      <c r="P28" s="14" t="str">
        <f>_xlfn.IFNA(VLOOKUP($H28,DB!$B:$M,5,FALSE),"")</f>
        <v/>
      </c>
      <c r="Q28" s="14" t="str">
        <f>_xlfn.IFNA(VLOOKUP($H28,DB!$B:$M,6,FALSE),"")</f>
        <v/>
      </c>
      <c r="R28" s="14" t="str">
        <f>_xlfn.IFNA(VLOOKUP($H28,DB!$B:$M,7,FALSE),"")</f>
        <v/>
      </c>
      <c r="S28" s="14" t="str">
        <f>_xlfn.IFNA(VLOOKUP($H28,DB!$B:$M,8,FALSE),"")</f>
        <v/>
      </c>
      <c r="T28" s="14" t="str">
        <f>_xlfn.IFNA(VLOOKUP($H28,DB!$B:$M,9,FALSE),"")</f>
        <v/>
      </c>
      <c r="U28" s="14" t="str">
        <f>_xlfn.IFNA(VLOOKUP($H28,DB!$B:$M,10,FALSE),"")</f>
        <v/>
      </c>
    </row>
    <row r="29" spans="1:21">
      <c r="A29" s="1" t="s">
        <v>109</v>
      </c>
      <c r="B29" s="3" t="s">
        <v>49</v>
      </c>
      <c r="C29" s="1" t="s">
        <v>43</v>
      </c>
      <c r="D29" s="1" t="s">
        <v>108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14" t="str">
        <f>_xlfn.IFNA(VLOOKUP($H29,DB!$B:$M,5,FALSE),"")</f>
        <v/>
      </c>
      <c r="Q29" s="14" t="str">
        <f>_xlfn.IFNA(VLOOKUP($H29,DB!$B:$M,6,FALSE),"")</f>
        <v/>
      </c>
      <c r="R29" s="14" t="str">
        <f>_xlfn.IFNA(VLOOKUP($H29,DB!$B:$M,7,FALSE),"")</f>
        <v/>
      </c>
      <c r="S29" s="14" t="str">
        <f>_xlfn.IFNA(VLOOKUP($H29,DB!$B:$M,8,FALSE),"")</f>
        <v/>
      </c>
      <c r="T29" s="14" t="str">
        <f>_xlfn.IFNA(VLOOKUP($H29,DB!$B:$M,9,FALSE),"")</f>
        <v/>
      </c>
      <c r="U29" s="14" t="str">
        <f>_xlfn.IFNA(VLOOKUP($H29,DB!$B:$M,10,FALSE),"")</f>
        <v/>
      </c>
    </row>
    <row r="30" spans="1:21">
      <c r="A30" s="1"/>
      <c r="B30" s="3"/>
      <c r="C30" s="1" t="s">
        <v>94</v>
      </c>
      <c r="D30" s="1" t="s">
        <v>110</v>
      </c>
      <c r="E30" s="1"/>
      <c r="F30" s="1"/>
      <c r="G30" s="1"/>
      <c r="H30" s="3"/>
      <c r="I30" s="1">
        <v>309</v>
      </c>
      <c r="J30" s="1" t="s">
        <v>46</v>
      </c>
      <c r="K30" s="1" t="s">
        <v>111</v>
      </c>
      <c r="L30" s="1"/>
      <c r="M30" s="1"/>
      <c r="N30" s="1" t="str">
        <f t="shared" si="0"/>
        <v>X</v>
      </c>
      <c r="O30" s="1"/>
      <c r="P30" s="14" t="str">
        <f>_xlfn.IFNA(VLOOKUP($H30,DB!$B:$M,5,FALSE),"")</f>
        <v/>
      </c>
      <c r="Q30" s="14" t="str">
        <f>_xlfn.IFNA(VLOOKUP($H30,DB!$B:$M,6,FALSE),"")</f>
        <v/>
      </c>
      <c r="R30" s="14" t="str">
        <f>_xlfn.IFNA(VLOOKUP($H30,DB!$B:$M,7,FALSE),"")</f>
        <v/>
      </c>
      <c r="S30" s="14" t="str">
        <f>_xlfn.IFNA(VLOOKUP($H30,DB!$B:$M,8,FALSE),"")</f>
        <v/>
      </c>
      <c r="T30" s="14" t="str">
        <f>_xlfn.IFNA(VLOOKUP($H30,DB!$B:$M,9,FALSE),"")</f>
        <v/>
      </c>
      <c r="U30" s="14" t="str">
        <f>_xlfn.IFNA(VLOOKUP($H30,DB!$B:$M,10,FALSE),"")</f>
        <v/>
      </c>
    </row>
    <row r="31" spans="1:21">
      <c r="A31" s="1" t="s">
        <v>112</v>
      </c>
      <c r="B31" s="3" t="s">
        <v>113</v>
      </c>
      <c r="C31" s="1" t="s">
        <v>94</v>
      </c>
      <c r="D31" s="1" t="s">
        <v>110</v>
      </c>
      <c r="E31" s="1"/>
      <c r="F31" s="1"/>
      <c r="G31" s="1"/>
      <c r="H31" s="3"/>
      <c r="I31" s="1"/>
      <c r="J31" s="1" t="s">
        <v>46</v>
      </c>
      <c r="K31" s="1"/>
      <c r="L31" s="1"/>
      <c r="M31" s="1"/>
      <c r="N31" s="1" t="str">
        <f t="shared" si="0"/>
        <v>X</v>
      </c>
      <c r="O31" s="1"/>
      <c r="P31" s="14" t="str">
        <f>_xlfn.IFNA(VLOOKUP($H31,DB!$B:$M,5,FALSE),"")</f>
        <v/>
      </c>
      <c r="Q31" s="14" t="str">
        <f>_xlfn.IFNA(VLOOKUP($H31,DB!$B:$M,6,FALSE),"")</f>
        <v/>
      </c>
      <c r="R31" s="14" t="str">
        <f>_xlfn.IFNA(VLOOKUP($H31,DB!$B:$M,7,FALSE),"")</f>
        <v/>
      </c>
      <c r="S31" s="14" t="str">
        <f>_xlfn.IFNA(VLOOKUP($H31,DB!$B:$M,8,FALSE),"")</f>
        <v/>
      </c>
      <c r="T31" s="14" t="str">
        <f>_xlfn.IFNA(VLOOKUP($H31,DB!$B:$M,9,FALSE),"")</f>
        <v/>
      </c>
      <c r="U31" s="14" t="str">
        <f>_xlfn.IFNA(VLOOKUP($H31,DB!$B:$M,10,FALSE),"")</f>
        <v/>
      </c>
    </row>
    <row r="32" spans="1:21">
      <c r="A32" s="1"/>
      <c r="B32" s="3"/>
      <c r="C32" s="1" t="s">
        <v>114</v>
      </c>
      <c r="D32" s="1" t="s">
        <v>115</v>
      </c>
      <c r="E32" s="1"/>
      <c r="F32" s="1"/>
      <c r="G32" s="1"/>
      <c r="H32" s="3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  <c r="P32" s="14" t="str">
        <f>_xlfn.IFNA(VLOOKUP($H32,DB!$B:$M,5,FALSE),"")</f>
        <v/>
      </c>
      <c r="Q32" s="14" t="str">
        <f>_xlfn.IFNA(VLOOKUP($H32,DB!$B:$M,6,FALSE),"")</f>
        <v/>
      </c>
      <c r="R32" s="14" t="str">
        <f>_xlfn.IFNA(VLOOKUP($H32,DB!$B:$M,7,FALSE),"")</f>
        <v/>
      </c>
      <c r="S32" s="14" t="str">
        <f>_xlfn.IFNA(VLOOKUP($H32,DB!$B:$M,8,FALSE),"")</f>
        <v/>
      </c>
      <c r="T32" s="14" t="str">
        <f>_xlfn.IFNA(VLOOKUP($H32,DB!$B:$M,9,FALSE),"")</f>
        <v/>
      </c>
      <c r="U32" s="14" t="str">
        <f>_xlfn.IFNA(VLOOKUP($H32,DB!$B:$M,10,FALSE),"")</f>
        <v/>
      </c>
    </row>
    <row r="33" spans="1:21">
      <c r="A33" s="1" t="s">
        <v>116</v>
      </c>
      <c r="B33" s="3" t="s">
        <v>97</v>
      </c>
      <c r="C33" s="1" t="s">
        <v>114</v>
      </c>
      <c r="D33" s="1" t="s">
        <v>115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14" t="str">
        <f>_xlfn.IFNA(VLOOKUP($H33,DB!$B:$M,5,FALSE),"")</f>
        <v/>
      </c>
      <c r="Q33" s="14" t="str">
        <f>_xlfn.IFNA(VLOOKUP($H33,DB!$B:$M,6,FALSE),"")</f>
        <v/>
      </c>
      <c r="R33" s="14" t="str">
        <f>_xlfn.IFNA(VLOOKUP($H33,DB!$B:$M,7,FALSE),"")</f>
        <v/>
      </c>
      <c r="S33" s="14" t="str">
        <f>_xlfn.IFNA(VLOOKUP($H33,DB!$B:$M,8,FALSE),"")</f>
        <v/>
      </c>
      <c r="T33" s="14" t="str">
        <f>_xlfn.IFNA(VLOOKUP($H33,DB!$B:$M,9,FALSE),"")</f>
        <v/>
      </c>
      <c r="U33" s="14" t="str">
        <f>_xlfn.IFNA(VLOOKUP($H33,DB!$B:$M,10,FALSE),"")</f>
        <v/>
      </c>
    </row>
    <row r="34" spans="1:21">
      <c r="A34" s="1"/>
      <c r="B34" s="3"/>
      <c r="C34" s="1" t="s">
        <v>117</v>
      </c>
      <c r="D34" s="1" t="s">
        <v>118</v>
      </c>
      <c r="E34" s="1"/>
      <c r="F34" s="1" t="s">
        <v>119</v>
      </c>
      <c r="G34" s="1"/>
      <c r="H34" s="3"/>
      <c r="I34" s="1">
        <v>1001</v>
      </c>
      <c r="J34" s="1" t="s">
        <v>31</v>
      </c>
      <c r="K34" s="1" t="s">
        <v>32</v>
      </c>
      <c r="L34" s="1">
        <v>1</v>
      </c>
      <c r="M34" s="1"/>
      <c r="N34" s="1">
        <f t="shared" si="0"/>
        <v>1</v>
      </c>
      <c r="O34" s="1"/>
      <c r="P34" s="14" t="str">
        <f>_xlfn.IFNA(VLOOKUP($H34,DB!$B:$M,5,FALSE),"")</f>
        <v/>
      </c>
      <c r="Q34" s="14" t="str">
        <f>_xlfn.IFNA(VLOOKUP($H34,DB!$B:$M,6,FALSE),"")</f>
        <v/>
      </c>
      <c r="R34" s="14" t="str">
        <f>_xlfn.IFNA(VLOOKUP($H34,DB!$B:$M,7,FALSE),"")</f>
        <v/>
      </c>
      <c r="S34" s="14" t="str">
        <f>_xlfn.IFNA(VLOOKUP($H34,DB!$B:$M,8,FALSE),"")</f>
        <v/>
      </c>
      <c r="T34" s="14" t="str">
        <f>_xlfn.IFNA(VLOOKUP($H34,DB!$B:$M,9,FALSE),"")</f>
        <v/>
      </c>
      <c r="U34" s="14" t="str">
        <f>_xlfn.IFNA(VLOOKUP($H34,DB!$B:$M,10,FALSE),"")</f>
        <v/>
      </c>
    </row>
    <row r="35" spans="1:21">
      <c r="A35" s="1" t="s">
        <v>120</v>
      </c>
      <c r="B35" s="3" t="s">
        <v>121</v>
      </c>
      <c r="C35" s="1" t="s">
        <v>117</v>
      </c>
      <c r="D35" s="1" t="s">
        <v>118</v>
      </c>
      <c r="E35" s="1"/>
      <c r="F35" s="1" t="s">
        <v>119</v>
      </c>
      <c r="G35" s="1"/>
      <c r="H35" s="3"/>
      <c r="I35" s="1"/>
      <c r="J35" s="1" t="s">
        <v>31</v>
      </c>
      <c r="K35" s="1"/>
      <c r="L35" s="1">
        <v>1</v>
      </c>
      <c r="M35" s="1"/>
      <c r="N35" s="1">
        <f t="shared" si="0"/>
        <v>1</v>
      </c>
      <c r="O35" s="1"/>
      <c r="P35" s="14" t="str">
        <f>_xlfn.IFNA(VLOOKUP($H35,DB!$B:$M,5,FALSE),"")</f>
        <v/>
      </c>
      <c r="Q35" s="14" t="str">
        <f>_xlfn.IFNA(VLOOKUP($H35,DB!$B:$M,6,FALSE),"")</f>
        <v/>
      </c>
      <c r="R35" s="14" t="str">
        <f>_xlfn.IFNA(VLOOKUP($H35,DB!$B:$M,7,FALSE),"")</f>
        <v/>
      </c>
      <c r="S35" s="14" t="str">
        <f>_xlfn.IFNA(VLOOKUP($H35,DB!$B:$M,8,FALSE),"")</f>
        <v/>
      </c>
      <c r="T35" s="14" t="str">
        <f>_xlfn.IFNA(VLOOKUP($H35,DB!$B:$M,9,FALSE),"")</f>
        <v/>
      </c>
      <c r="U35" s="14" t="str">
        <f>_xlfn.IFNA(VLOOKUP($H35,DB!$B:$M,10,FALSE),"")</f>
        <v/>
      </c>
    </row>
    <row r="36" spans="1:21">
      <c r="A36" s="1" t="s">
        <v>122</v>
      </c>
      <c r="B36" s="3" t="s">
        <v>123</v>
      </c>
      <c r="C36" s="1" t="s">
        <v>100</v>
      </c>
      <c r="D36" s="1" t="s">
        <v>124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14" t="str">
        <f>_xlfn.IFNA(VLOOKUP($H36,DB!$B:$M,5,FALSE),"")</f>
        <v/>
      </c>
      <c r="Q36" s="14" t="str">
        <f>_xlfn.IFNA(VLOOKUP($H36,DB!$B:$M,6,FALSE),"")</f>
        <v/>
      </c>
      <c r="R36" s="14" t="str">
        <f>_xlfn.IFNA(VLOOKUP($H36,DB!$B:$M,7,FALSE),"")</f>
        <v/>
      </c>
      <c r="S36" s="14" t="str">
        <f>_xlfn.IFNA(VLOOKUP($H36,DB!$B:$M,8,FALSE),"")</f>
        <v/>
      </c>
      <c r="T36" s="14" t="str">
        <f>_xlfn.IFNA(VLOOKUP($H36,DB!$B:$M,9,FALSE),"")</f>
        <v/>
      </c>
      <c r="U36" s="14" t="str">
        <f>_xlfn.IFNA(VLOOKUP($H36,DB!$B:$M,10,FALSE),"")</f>
        <v/>
      </c>
    </row>
    <row r="37" spans="1:21">
      <c r="A37" s="1" t="s">
        <v>125</v>
      </c>
      <c r="B37" s="3" t="s">
        <v>126</v>
      </c>
      <c r="C37" s="1" t="s">
        <v>40</v>
      </c>
      <c r="D37" s="1" t="s">
        <v>127</v>
      </c>
      <c r="E37" s="1" t="s">
        <v>356</v>
      </c>
      <c r="F37" s="1" t="s">
        <v>128</v>
      </c>
      <c r="G37" s="1" t="s">
        <v>86</v>
      </c>
      <c r="H37" s="3" t="s">
        <v>87</v>
      </c>
      <c r="I37" s="1">
        <v>1018</v>
      </c>
      <c r="J37" s="1" t="s">
        <v>46</v>
      </c>
      <c r="K37" s="1" t="s">
        <v>42</v>
      </c>
      <c r="L37" s="1">
        <v>3</v>
      </c>
      <c r="M37" s="1"/>
      <c r="N37" s="1">
        <f t="shared" si="0"/>
        <v>3</v>
      </c>
      <c r="O37" s="1"/>
      <c r="P37" s="14">
        <f>_xlfn.IFNA(VLOOKUP($H37,DB!$B:$M,5,FALSE),"")</f>
        <v>0</v>
      </c>
      <c r="Q37" s="14">
        <f>_xlfn.IFNA(VLOOKUP($H37,DB!$B:$M,6,FALSE),"")</f>
        <v>0</v>
      </c>
      <c r="R37" s="14">
        <f>_xlfn.IFNA(VLOOKUP($H37,DB!$B:$M,7,FALSE),"")</f>
        <v>0</v>
      </c>
      <c r="S37" s="14">
        <f>_xlfn.IFNA(VLOOKUP($H37,DB!$B:$M,8,FALSE),"")</f>
        <v>0</v>
      </c>
      <c r="T37" s="14" t="str">
        <f>_xlfn.IFNA(VLOOKUP($H37,DB!$B:$M,9,FALSE),"")</f>
        <v>정보 없음</v>
      </c>
      <c r="U37" s="14" t="str">
        <f>_xlfn.IFNA(VLOOKUP($H37,DB!$B:$M,10,FALSE),"")</f>
        <v>정보 없음</v>
      </c>
    </row>
    <row r="38" spans="1:21">
      <c r="A38" s="1" t="s">
        <v>129</v>
      </c>
      <c r="B38" s="3" t="s">
        <v>91</v>
      </c>
      <c r="C38" s="1" t="s">
        <v>43</v>
      </c>
      <c r="D38" s="1" t="s">
        <v>130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14" t="str">
        <f>_xlfn.IFNA(VLOOKUP($H38,DB!$B:$M,5,FALSE),"")</f>
        <v/>
      </c>
      <c r="Q38" s="14" t="str">
        <f>_xlfn.IFNA(VLOOKUP($H38,DB!$B:$M,6,FALSE),"")</f>
        <v/>
      </c>
      <c r="R38" s="14" t="str">
        <f>_xlfn.IFNA(VLOOKUP($H38,DB!$B:$M,7,FALSE),"")</f>
        <v/>
      </c>
      <c r="S38" s="14" t="str">
        <f>_xlfn.IFNA(VLOOKUP($H38,DB!$B:$M,8,FALSE),"")</f>
        <v/>
      </c>
      <c r="T38" s="14" t="str">
        <f>_xlfn.IFNA(VLOOKUP($H38,DB!$B:$M,9,FALSE),"")</f>
        <v/>
      </c>
      <c r="U38" s="14" t="str">
        <f>_xlfn.IFNA(VLOOKUP($H38,DB!$B:$M,10,FALSE),"")</f>
        <v/>
      </c>
    </row>
    <row r="39" spans="1:21">
      <c r="A39" s="1"/>
      <c r="B39" s="3"/>
      <c r="C39" s="1" t="s">
        <v>94</v>
      </c>
      <c r="D39" s="1" t="s">
        <v>131</v>
      </c>
      <c r="E39" s="1"/>
      <c r="F39" s="1"/>
      <c r="G39" s="1"/>
      <c r="H39" s="3"/>
      <c r="I39" s="1">
        <v>1001</v>
      </c>
      <c r="J39" s="1" t="s">
        <v>25</v>
      </c>
      <c r="K39" s="1" t="s">
        <v>62</v>
      </c>
      <c r="L39" s="1"/>
      <c r="M39" s="1"/>
      <c r="N39" s="1" t="str">
        <f t="shared" si="0"/>
        <v>X</v>
      </c>
      <c r="O39" s="1"/>
      <c r="P39" s="14" t="str">
        <f>_xlfn.IFNA(VLOOKUP($H39,DB!$B:$M,5,FALSE),"")</f>
        <v/>
      </c>
      <c r="Q39" s="14" t="str">
        <f>_xlfn.IFNA(VLOOKUP($H39,DB!$B:$M,6,FALSE),"")</f>
        <v/>
      </c>
      <c r="R39" s="14" t="str">
        <f>_xlfn.IFNA(VLOOKUP($H39,DB!$B:$M,7,FALSE),"")</f>
        <v/>
      </c>
      <c r="S39" s="14" t="str">
        <f>_xlfn.IFNA(VLOOKUP($H39,DB!$B:$M,8,FALSE),"")</f>
        <v/>
      </c>
      <c r="T39" s="14" t="str">
        <f>_xlfn.IFNA(VLOOKUP($H39,DB!$B:$M,9,FALSE),"")</f>
        <v/>
      </c>
      <c r="U39" s="14" t="str">
        <f>_xlfn.IFNA(VLOOKUP($H39,DB!$B:$M,10,FALSE),"")</f>
        <v/>
      </c>
    </row>
    <row r="40" spans="1:21">
      <c r="A40" s="1" t="s">
        <v>132</v>
      </c>
      <c r="B40" s="3" t="s">
        <v>133</v>
      </c>
      <c r="C40" s="1" t="s">
        <v>94</v>
      </c>
      <c r="D40" s="1" t="s">
        <v>131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14" t="str">
        <f>_xlfn.IFNA(VLOOKUP($H40,DB!$B:$M,5,FALSE),"")</f>
        <v/>
      </c>
      <c r="Q40" s="14" t="str">
        <f>_xlfn.IFNA(VLOOKUP($H40,DB!$B:$M,6,FALSE),"")</f>
        <v/>
      </c>
      <c r="R40" s="14" t="str">
        <f>_xlfn.IFNA(VLOOKUP($H40,DB!$B:$M,7,FALSE),"")</f>
        <v/>
      </c>
      <c r="S40" s="14" t="str">
        <f>_xlfn.IFNA(VLOOKUP($H40,DB!$B:$M,8,FALSE),"")</f>
        <v/>
      </c>
      <c r="T40" s="14" t="str">
        <f>_xlfn.IFNA(VLOOKUP($H40,DB!$B:$M,9,FALSE),"")</f>
        <v/>
      </c>
      <c r="U40" s="14" t="str">
        <f>_xlfn.IFNA(VLOOKUP($H40,DB!$B:$M,10,FALSE),"")</f>
        <v/>
      </c>
    </row>
    <row r="41" spans="1:21">
      <c r="A41" s="1" t="s">
        <v>134</v>
      </c>
      <c r="B41" s="3" t="s">
        <v>135</v>
      </c>
      <c r="C41" s="1" t="s">
        <v>136</v>
      </c>
      <c r="D41" s="1" t="s">
        <v>137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14" t="str">
        <f>_xlfn.IFNA(VLOOKUP($H41,DB!$B:$M,5,FALSE),"")</f>
        <v/>
      </c>
      <c r="Q41" s="14" t="str">
        <f>_xlfn.IFNA(VLOOKUP($H41,DB!$B:$M,6,FALSE),"")</f>
        <v/>
      </c>
      <c r="R41" s="14" t="str">
        <f>_xlfn.IFNA(VLOOKUP($H41,DB!$B:$M,7,FALSE),"")</f>
        <v/>
      </c>
      <c r="S41" s="14" t="str">
        <f>_xlfn.IFNA(VLOOKUP($H41,DB!$B:$M,8,FALSE),"")</f>
        <v/>
      </c>
      <c r="T41" s="14" t="str">
        <f>_xlfn.IFNA(VLOOKUP($H41,DB!$B:$M,9,FALSE),"")</f>
        <v/>
      </c>
      <c r="U41" s="14" t="str">
        <f>_xlfn.IFNA(VLOOKUP($H41,DB!$B:$M,10,FALSE),"")</f>
        <v/>
      </c>
    </row>
    <row r="42" spans="1:21">
      <c r="A42" s="1"/>
      <c r="B42" s="3"/>
      <c r="C42" s="1" t="s">
        <v>100</v>
      </c>
      <c r="D42" s="1" t="s">
        <v>138</v>
      </c>
      <c r="E42" s="1" t="s">
        <v>356</v>
      </c>
      <c r="F42" s="1" t="s">
        <v>85</v>
      </c>
      <c r="G42" s="1" t="s">
        <v>86</v>
      </c>
      <c r="H42" s="3" t="s">
        <v>87</v>
      </c>
      <c r="I42" s="1">
        <v>309</v>
      </c>
      <c r="J42" s="1" t="s">
        <v>31</v>
      </c>
      <c r="K42" s="1" t="s">
        <v>111</v>
      </c>
      <c r="L42" s="1">
        <v>1</v>
      </c>
      <c r="M42" s="1"/>
      <c r="N42" s="1">
        <f t="shared" si="0"/>
        <v>1</v>
      </c>
      <c r="O42" s="1"/>
      <c r="P42" s="14">
        <f>_xlfn.IFNA(VLOOKUP($H42,DB!$B:$M,5,FALSE),"")</f>
        <v>0</v>
      </c>
      <c r="Q42" s="14">
        <f>_xlfn.IFNA(VLOOKUP($H42,DB!$B:$M,6,FALSE),"")</f>
        <v>0</v>
      </c>
      <c r="R42" s="14">
        <f>_xlfn.IFNA(VLOOKUP($H42,DB!$B:$M,7,FALSE),"")</f>
        <v>0</v>
      </c>
      <c r="S42" s="14">
        <f>_xlfn.IFNA(VLOOKUP($H42,DB!$B:$M,8,FALSE),"")</f>
        <v>0</v>
      </c>
      <c r="T42" s="14" t="str">
        <f>_xlfn.IFNA(VLOOKUP($H42,DB!$B:$M,9,FALSE),"")</f>
        <v>정보 없음</v>
      </c>
      <c r="U42" s="14" t="str">
        <f>_xlfn.IFNA(VLOOKUP($H42,DB!$B:$M,10,FALSE),"")</f>
        <v>정보 없음</v>
      </c>
    </row>
    <row r="43" spans="1:21">
      <c r="A43" s="1" t="s">
        <v>139</v>
      </c>
      <c r="B43" s="3" t="s">
        <v>140</v>
      </c>
      <c r="C43" s="1" t="s">
        <v>100</v>
      </c>
      <c r="D43" s="1" t="s">
        <v>138</v>
      </c>
      <c r="E43" s="1" t="s">
        <v>356</v>
      </c>
      <c r="F43" s="1" t="s">
        <v>85</v>
      </c>
      <c r="G43" s="1" t="s">
        <v>86</v>
      </c>
      <c r="H43" s="3" t="s">
        <v>87</v>
      </c>
      <c r="I43" s="1"/>
      <c r="J43" s="1" t="s">
        <v>31</v>
      </c>
      <c r="K43" s="1"/>
      <c r="L43" s="1">
        <v>1</v>
      </c>
      <c r="M43" s="1"/>
      <c r="N43" s="1">
        <f t="shared" si="0"/>
        <v>1</v>
      </c>
      <c r="O43" s="1"/>
      <c r="P43" s="14">
        <f>_xlfn.IFNA(VLOOKUP($H43,DB!$B:$M,5,FALSE),"")</f>
        <v>0</v>
      </c>
      <c r="Q43" s="14">
        <f>_xlfn.IFNA(VLOOKUP($H43,DB!$B:$M,6,FALSE),"")</f>
        <v>0</v>
      </c>
      <c r="R43" s="14">
        <f>_xlfn.IFNA(VLOOKUP($H43,DB!$B:$M,7,FALSE),"")</f>
        <v>0</v>
      </c>
      <c r="S43" s="14">
        <f>_xlfn.IFNA(VLOOKUP($H43,DB!$B:$M,8,FALSE),"")</f>
        <v>0</v>
      </c>
      <c r="T43" s="14" t="str">
        <f>_xlfn.IFNA(VLOOKUP($H43,DB!$B:$M,9,FALSE),"")</f>
        <v>정보 없음</v>
      </c>
      <c r="U43" s="14" t="str">
        <f>_xlfn.IFNA(VLOOKUP($H43,DB!$B:$M,10,FALSE),"")</f>
        <v>정보 없음</v>
      </c>
    </row>
    <row r="44" spans="1:21">
      <c r="C44" s="1" t="s">
        <v>100</v>
      </c>
      <c r="D44" s="1" t="s">
        <v>141</v>
      </c>
      <c r="E44" s="1" t="s">
        <v>356</v>
      </c>
      <c r="F44" s="1" t="s">
        <v>85</v>
      </c>
      <c r="G44" s="1" t="s">
        <v>86</v>
      </c>
      <c r="H44" s="3" t="s">
        <v>87</v>
      </c>
      <c r="I44" s="1">
        <v>309</v>
      </c>
      <c r="J44" s="1" t="s">
        <v>31</v>
      </c>
      <c r="K44" s="1" t="s">
        <v>111</v>
      </c>
      <c r="L44" s="1">
        <v>1</v>
      </c>
      <c r="N44" s="1">
        <f t="shared" si="0"/>
        <v>1</v>
      </c>
      <c r="P44" s="14">
        <f>_xlfn.IFNA(VLOOKUP($H44,DB!$B:$M,5,FALSE),"")</f>
        <v>0</v>
      </c>
      <c r="Q44" s="14">
        <f>_xlfn.IFNA(VLOOKUP($H44,DB!$B:$M,6,FALSE),"")</f>
        <v>0</v>
      </c>
      <c r="R44" s="14">
        <f>_xlfn.IFNA(VLOOKUP($H44,DB!$B:$M,7,FALSE),"")</f>
        <v>0</v>
      </c>
      <c r="S44" s="14">
        <f>_xlfn.IFNA(VLOOKUP($H44,DB!$B:$M,8,FALSE),"")</f>
        <v>0</v>
      </c>
      <c r="T44" s="14" t="str">
        <f>_xlfn.IFNA(VLOOKUP($H44,DB!$B:$M,9,FALSE),"")</f>
        <v>정보 없음</v>
      </c>
      <c r="U44" s="14" t="str">
        <f>_xlfn.IFNA(VLOOKUP($H44,DB!$B:$M,10,FALSE),"")</f>
        <v>정보 없음</v>
      </c>
    </row>
    <row r="45" spans="1:21">
      <c r="C45" s="1" t="s">
        <v>100</v>
      </c>
      <c r="D45" s="1" t="s">
        <v>142</v>
      </c>
      <c r="E45" s="1" t="s">
        <v>356</v>
      </c>
      <c r="F45" s="1" t="s">
        <v>85</v>
      </c>
      <c r="G45" s="1" t="s">
        <v>86</v>
      </c>
      <c r="H45" s="3" t="s">
        <v>87</v>
      </c>
      <c r="I45" s="1">
        <v>309</v>
      </c>
      <c r="J45" s="1" t="s">
        <v>31</v>
      </c>
      <c r="K45" s="1" t="s">
        <v>111</v>
      </c>
      <c r="L45" s="1">
        <v>1</v>
      </c>
      <c r="N45" s="1">
        <f t="shared" si="0"/>
        <v>1</v>
      </c>
      <c r="P45" s="14">
        <f>_xlfn.IFNA(VLOOKUP($H45,DB!$B:$M,5,FALSE),"")</f>
        <v>0</v>
      </c>
      <c r="Q45" s="14">
        <f>_xlfn.IFNA(VLOOKUP($H45,DB!$B:$M,6,FALSE),"")</f>
        <v>0</v>
      </c>
      <c r="R45" s="14">
        <f>_xlfn.IFNA(VLOOKUP($H45,DB!$B:$M,7,FALSE),"")</f>
        <v>0</v>
      </c>
      <c r="S45" s="14">
        <f>_xlfn.IFNA(VLOOKUP($H45,DB!$B:$M,8,FALSE),"")</f>
        <v>0</v>
      </c>
      <c r="T45" s="14" t="str">
        <f>_xlfn.IFNA(VLOOKUP($H45,DB!$B:$M,9,FALSE),"")</f>
        <v>정보 없음</v>
      </c>
      <c r="U45" s="14" t="str">
        <f>_xlfn.IFNA(VLOOKUP($H45,DB!$B:$M,10,FALSE),"")</f>
        <v>정보 없음</v>
      </c>
    </row>
    <row r="46" spans="1:21">
      <c r="C46" s="1" t="s">
        <v>100</v>
      </c>
      <c r="D46" s="1" t="s">
        <v>143</v>
      </c>
      <c r="E46" s="1" t="s">
        <v>356</v>
      </c>
      <c r="F46" s="1" t="s">
        <v>85</v>
      </c>
      <c r="G46" s="1" t="s">
        <v>86</v>
      </c>
      <c r="H46" s="3" t="s">
        <v>87</v>
      </c>
      <c r="I46" s="1">
        <v>309</v>
      </c>
      <c r="J46" s="1" t="s">
        <v>31</v>
      </c>
      <c r="K46" s="1" t="s">
        <v>111</v>
      </c>
      <c r="L46" s="1">
        <v>1</v>
      </c>
      <c r="N46" s="1">
        <f t="shared" si="0"/>
        <v>1</v>
      </c>
      <c r="P46" s="14">
        <f>_xlfn.IFNA(VLOOKUP($H46,DB!$B:$M,5,FALSE),"")</f>
        <v>0</v>
      </c>
      <c r="Q46" s="14">
        <f>_xlfn.IFNA(VLOOKUP($H46,DB!$B:$M,6,FALSE),"")</f>
        <v>0</v>
      </c>
      <c r="R46" s="14">
        <f>_xlfn.IFNA(VLOOKUP($H46,DB!$B:$M,7,FALSE),"")</f>
        <v>0</v>
      </c>
      <c r="S46" s="14">
        <f>_xlfn.IFNA(VLOOKUP($H46,DB!$B:$M,8,FALSE),"")</f>
        <v>0</v>
      </c>
      <c r="T46" s="14" t="str">
        <f>_xlfn.IFNA(VLOOKUP($H46,DB!$B:$M,9,FALSE),"")</f>
        <v>정보 없음</v>
      </c>
      <c r="U46" s="14" t="str">
        <f>_xlfn.IFNA(VLOOKUP($H46,DB!$B:$M,10,FALSE),"")</f>
        <v>정보 없음</v>
      </c>
    </row>
    <row r="47" spans="1:21">
      <c r="C47" s="1" t="s">
        <v>100</v>
      </c>
      <c r="D47" s="1" t="s">
        <v>144</v>
      </c>
      <c r="E47" s="1" t="s">
        <v>356</v>
      </c>
      <c r="F47" s="1" t="s">
        <v>85</v>
      </c>
      <c r="G47" s="1" t="s">
        <v>86</v>
      </c>
      <c r="H47" s="3" t="s">
        <v>87</v>
      </c>
      <c r="I47" s="1">
        <v>309</v>
      </c>
      <c r="J47" s="1" t="s">
        <v>31</v>
      </c>
      <c r="K47" s="1" t="s">
        <v>111</v>
      </c>
      <c r="L47" s="1">
        <v>1</v>
      </c>
      <c r="N47" s="1">
        <f t="shared" si="0"/>
        <v>1</v>
      </c>
      <c r="P47" s="14">
        <f>_xlfn.IFNA(VLOOKUP($H47,DB!$B:$M,5,FALSE),"")</f>
        <v>0</v>
      </c>
      <c r="Q47" s="14">
        <f>_xlfn.IFNA(VLOOKUP($H47,DB!$B:$M,6,FALSE),"")</f>
        <v>0</v>
      </c>
      <c r="R47" s="14">
        <f>_xlfn.IFNA(VLOOKUP($H47,DB!$B:$M,7,FALSE),"")</f>
        <v>0</v>
      </c>
      <c r="S47" s="14">
        <f>_xlfn.IFNA(VLOOKUP($H47,DB!$B:$M,8,FALSE),"")</f>
        <v>0</v>
      </c>
      <c r="T47" s="14" t="str">
        <f>_xlfn.IFNA(VLOOKUP($H47,DB!$B:$M,9,FALSE),"")</f>
        <v>정보 없음</v>
      </c>
      <c r="U47" s="14" t="str">
        <f>_xlfn.IFNA(VLOOKUP($H47,DB!$B:$M,10,FALSE),"")</f>
        <v>정보 없음</v>
      </c>
    </row>
    <row r="48" spans="1:21">
      <c r="C48" s="1" t="s">
        <v>100</v>
      </c>
      <c r="D48" s="1" t="s">
        <v>145</v>
      </c>
      <c r="E48" s="1" t="s">
        <v>356</v>
      </c>
      <c r="F48" s="1" t="s">
        <v>85</v>
      </c>
      <c r="G48" s="1" t="s">
        <v>86</v>
      </c>
      <c r="H48" s="3" t="s">
        <v>87</v>
      </c>
      <c r="I48" s="1">
        <v>309</v>
      </c>
      <c r="J48" s="1" t="s">
        <v>31</v>
      </c>
      <c r="K48" s="1" t="s">
        <v>111</v>
      </c>
      <c r="L48" s="1">
        <v>1</v>
      </c>
      <c r="N48" s="1">
        <f t="shared" si="0"/>
        <v>1</v>
      </c>
      <c r="P48" s="14">
        <f>_xlfn.IFNA(VLOOKUP($H48,DB!$B:$M,5,FALSE),"")</f>
        <v>0</v>
      </c>
      <c r="Q48" s="14">
        <f>_xlfn.IFNA(VLOOKUP($H48,DB!$B:$M,6,FALSE),"")</f>
        <v>0</v>
      </c>
      <c r="R48" s="14">
        <f>_xlfn.IFNA(VLOOKUP($H48,DB!$B:$M,7,FALSE),"")</f>
        <v>0</v>
      </c>
      <c r="S48" s="14">
        <f>_xlfn.IFNA(VLOOKUP($H48,DB!$B:$M,8,FALSE),"")</f>
        <v>0</v>
      </c>
      <c r="T48" s="14" t="str">
        <f>_xlfn.IFNA(VLOOKUP($H48,DB!$B:$M,9,FALSE),"")</f>
        <v>정보 없음</v>
      </c>
      <c r="U48" s="14" t="str">
        <f>_xlfn.IFNA(VLOOKUP($H48,DB!$B:$M,10,FALSE),"")</f>
        <v>정보 없음</v>
      </c>
    </row>
    <row r="49" spans="3:21">
      <c r="C49" s="1" t="s">
        <v>100</v>
      </c>
      <c r="D49" s="1" t="s">
        <v>146</v>
      </c>
      <c r="E49" s="1" t="s">
        <v>356</v>
      </c>
      <c r="F49" s="1" t="s">
        <v>85</v>
      </c>
      <c r="G49" s="1" t="s">
        <v>86</v>
      </c>
      <c r="H49" s="3" t="s">
        <v>87</v>
      </c>
      <c r="I49" s="1">
        <v>309</v>
      </c>
      <c r="J49" s="1" t="s">
        <v>31</v>
      </c>
      <c r="K49" s="1" t="s">
        <v>111</v>
      </c>
      <c r="L49" s="1">
        <v>1</v>
      </c>
      <c r="N49" s="1">
        <f t="shared" si="0"/>
        <v>1</v>
      </c>
      <c r="P49" s="14">
        <f>_xlfn.IFNA(VLOOKUP($H49,DB!$B:$M,5,FALSE),"")</f>
        <v>0</v>
      </c>
      <c r="Q49" s="14">
        <f>_xlfn.IFNA(VLOOKUP($H49,DB!$B:$M,6,FALSE),"")</f>
        <v>0</v>
      </c>
      <c r="R49" s="14">
        <f>_xlfn.IFNA(VLOOKUP($H49,DB!$B:$M,7,FALSE),"")</f>
        <v>0</v>
      </c>
      <c r="S49" s="14">
        <f>_xlfn.IFNA(VLOOKUP($H49,DB!$B:$M,8,FALSE),"")</f>
        <v>0</v>
      </c>
      <c r="T49" s="14" t="str">
        <f>_xlfn.IFNA(VLOOKUP($H49,DB!$B:$M,9,FALSE),"")</f>
        <v>정보 없음</v>
      </c>
      <c r="U49" s="14" t="str">
        <f>_xlfn.IFNA(VLOOKUP($H49,DB!$B:$M,10,FALSE),"")</f>
        <v>정보 없음</v>
      </c>
    </row>
    <row r="50" spans="3:21">
      <c r="C50" s="1" t="s">
        <v>100</v>
      </c>
      <c r="D50" s="1" t="s">
        <v>147</v>
      </c>
      <c r="E50" s="1" t="s">
        <v>356</v>
      </c>
      <c r="F50" s="1" t="s">
        <v>85</v>
      </c>
      <c r="G50" s="1" t="s">
        <v>86</v>
      </c>
      <c r="H50" s="3" t="s">
        <v>87</v>
      </c>
      <c r="I50" s="1">
        <v>309</v>
      </c>
      <c r="J50" s="1" t="s">
        <v>31</v>
      </c>
      <c r="K50" s="1" t="s">
        <v>111</v>
      </c>
      <c r="L50" s="1">
        <v>1</v>
      </c>
      <c r="N50" s="1">
        <f t="shared" si="0"/>
        <v>1</v>
      </c>
      <c r="P50" s="14">
        <f>_xlfn.IFNA(VLOOKUP($H50,DB!$B:$M,5,FALSE),"")</f>
        <v>0</v>
      </c>
      <c r="Q50" s="14">
        <f>_xlfn.IFNA(VLOOKUP($H50,DB!$B:$M,6,FALSE),"")</f>
        <v>0</v>
      </c>
      <c r="R50" s="14">
        <f>_xlfn.IFNA(VLOOKUP($H50,DB!$B:$M,7,FALSE),"")</f>
        <v>0</v>
      </c>
      <c r="S50" s="14">
        <f>_xlfn.IFNA(VLOOKUP($H50,DB!$B:$M,8,FALSE),"")</f>
        <v>0</v>
      </c>
      <c r="T50" s="14" t="str">
        <f>_xlfn.IFNA(VLOOKUP($H50,DB!$B:$M,9,FALSE),"")</f>
        <v>정보 없음</v>
      </c>
      <c r="U50" s="14" t="str">
        <f>_xlfn.IFNA(VLOOKUP($H50,DB!$B:$M,10,FALSE),"")</f>
        <v>정보 없음</v>
      </c>
    </row>
    <row r="51" spans="3:21">
      <c r="C51" s="1" t="s">
        <v>100</v>
      </c>
      <c r="D51" s="1" t="s">
        <v>148</v>
      </c>
      <c r="E51" s="1" t="s">
        <v>356</v>
      </c>
      <c r="F51" s="1" t="s">
        <v>85</v>
      </c>
      <c r="G51" s="1" t="s">
        <v>86</v>
      </c>
      <c r="H51" s="3" t="s">
        <v>87</v>
      </c>
      <c r="I51" s="1">
        <v>309</v>
      </c>
      <c r="J51" s="1" t="s">
        <v>31</v>
      </c>
      <c r="K51" s="1" t="s">
        <v>111</v>
      </c>
      <c r="L51" s="1">
        <v>1</v>
      </c>
      <c r="N51" s="1">
        <f t="shared" si="0"/>
        <v>1</v>
      </c>
      <c r="P51" s="14">
        <f>_xlfn.IFNA(VLOOKUP($H51,DB!$B:$M,5,FALSE),"")</f>
        <v>0</v>
      </c>
      <c r="Q51" s="14">
        <f>_xlfn.IFNA(VLOOKUP($H51,DB!$B:$M,6,FALSE),"")</f>
        <v>0</v>
      </c>
      <c r="R51" s="14">
        <f>_xlfn.IFNA(VLOOKUP($H51,DB!$B:$M,7,FALSE),"")</f>
        <v>0</v>
      </c>
      <c r="S51" s="14">
        <f>_xlfn.IFNA(VLOOKUP($H51,DB!$B:$M,8,FALSE),"")</f>
        <v>0</v>
      </c>
      <c r="T51" s="14" t="str">
        <f>_xlfn.IFNA(VLOOKUP($H51,DB!$B:$M,9,FALSE),"")</f>
        <v>정보 없음</v>
      </c>
      <c r="U51" s="14" t="str">
        <f>_xlfn.IFNA(VLOOKUP($H51,DB!$B:$M,10,FALSE),"")</f>
        <v>정보 없음</v>
      </c>
    </row>
    <row r="52" spans="3:21">
      <c r="C52" s="1" t="s">
        <v>100</v>
      </c>
      <c r="D52" s="1" t="s">
        <v>149</v>
      </c>
      <c r="E52" s="1" t="s">
        <v>356</v>
      </c>
      <c r="F52" s="1" t="s">
        <v>85</v>
      </c>
      <c r="G52" s="1" t="s">
        <v>86</v>
      </c>
      <c r="H52" s="3" t="s">
        <v>87</v>
      </c>
      <c r="I52" s="1">
        <v>309</v>
      </c>
      <c r="J52" s="1" t="s">
        <v>31</v>
      </c>
      <c r="K52" s="1" t="s">
        <v>111</v>
      </c>
      <c r="L52" s="1">
        <v>1</v>
      </c>
      <c r="N52" s="1">
        <f t="shared" si="0"/>
        <v>1</v>
      </c>
      <c r="P52" s="14">
        <f>_xlfn.IFNA(VLOOKUP($H52,DB!$B:$M,5,FALSE),"")</f>
        <v>0</v>
      </c>
      <c r="Q52" s="14">
        <f>_xlfn.IFNA(VLOOKUP($H52,DB!$B:$M,6,FALSE),"")</f>
        <v>0</v>
      </c>
      <c r="R52" s="14">
        <f>_xlfn.IFNA(VLOOKUP($H52,DB!$B:$M,7,FALSE),"")</f>
        <v>0</v>
      </c>
      <c r="S52" s="14">
        <f>_xlfn.IFNA(VLOOKUP($H52,DB!$B:$M,8,FALSE),"")</f>
        <v>0</v>
      </c>
      <c r="T52" s="14" t="str">
        <f>_xlfn.IFNA(VLOOKUP($H52,DB!$B:$M,9,FALSE),"")</f>
        <v>정보 없음</v>
      </c>
      <c r="U52" s="14" t="str">
        <f>_xlfn.IFNA(VLOOKUP($H52,DB!$B:$M,10,FALSE),"")</f>
        <v>정보 없음</v>
      </c>
    </row>
    <row r="53" spans="3:21">
      <c r="C53" s="1" t="s">
        <v>100</v>
      </c>
      <c r="D53" s="1" t="s">
        <v>150</v>
      </c>
      <c r="E53" s="1" t="s">
        <v>356</v>
      </c>
      <c r="F53" s="1" t="s">
        <v>85</v>
      </c>
      <c r="G53" s="1" t="s">
        <v>86</v>
      </c>
      <c r="H53" s="3" t="s">
        <v>87</v>
      </c>
      <c r="I53" s="1">
        <v>309</v>
      </c>
      <c r="J53" s="1" t="s">
        <v>31</v>
      </c>
      <c r="K53" s="1" t="s">
        <v>111</v>
      </c>
      <c r="L53" s="1">
        <v>1</v>
      </c>
      <c r="N53" s="1">
        <f t="shared" si="0"/>
        <v>1</v>
      </c>
      <c r="P53" s="14">
        <f>_xlfn.IFNA(VLOOKUP($H53,DB!$B:$M,5,FALSE),"")</f>
        <v>0</v>
      </c>
      <c r="Q53" s="14">
        <f>_xlfn.IFNA(VLOOKUP($H53,DB!$B:$M,6,FALSE),"")</f>
        <v>0</v>
      </c>
      <c r="R53" s="14">
        <f>_xlfn.IFNA(VLOOKUP($H53,DB!$B:$M,7,FALSE),"")</f>
        <v>0</v>
      </c>
      <c r="S53" s="14">
        <f>_xlfn.IFNA(VLOOKUP($H53,DB!$B:$M,8,FALSE),"")</f>
        <v>0</v>
      </c>
      <c r="T53" s="14" t="str">
        <f>_xlfn.IFNA(VLOOKUP($H53,DB!$B:$M,9,FALSE),"")</f>
        <v>정보 없음</v>
      </c>
      <c r="U53" s="14" t="str">
        <f>_xlfn.IFNA(VLOOKUP($H53,DB!$B:$M,10,FALSE),"")</f>
        <v>정보 없음</v>
      </c>
    </row>
    <row r="54" spans="3:21">
      <c r="C54" s="1" t="s">
        <v>100</v>
      </c>
      <c r="D54" s="1" t="s">
        <v>151</v>
      </c>
      <c r="E54" s="1" t="s">
        <v>356</v>
      </c>
      <c r="F54" s="1" t="s">
        <v>85</v>
      </c>
      <c r="G54" s="1" t="s">
        <v>86</v>
      </c>
      <c r="H54" s="3" t="s">
        <v>87</v>
      </c>
      <c r="I54" s="1">
        <v>309</v>
      </c>
      <c r="J54" s="1" t="s">
        <v>31</v>
      </c>
      <c r="K54" s="1" t="s">
        <v>111</v>
      </c>
      <c r="L54" s="1">
        <v>1</v>
      </c>
      <c r="N54" s="1">
        <f t="shared" si="0"/>
        <v>1</v>
      </c>
      <c r="P54" s="14">
        <f>_xlfn.IFNA(VLOOKUP($H54,DB!$B:$M,5,FALSE),"")</f>
        <v>0</v>
      </c>
      <c r="Q54" s="14">
        <f>_xlfn.IFNA(VLOOKUP($H54,DB!$B:$M,6,FALSE),"")</f>
        <v>0</v>
      </c>
      <c r="R54" s="14">
        <f>_xlfn.IFNA(VLOOKUP($H54,DB!$B:$M,7,FALSE),"")</f>
        <v>0</v>
      </c>
      <c r="S54" s="14">
        <f>_xlfn.IFNA(VLOOKUP($H54,DB!$B:$M,8,FALSE),"")</f>
        <v>0</v>
      </c>
      <c r="T54" s="14" t="str">
        <f>_xlfn.IFNA(VLOOKUP($H54,DB!$B:$M,9,FALSE),"")</f>
        <v>정보 없음</v>
      </c>
      <c r="U54" s="14" t="str">
        <f>_xlfn.IFNA(VLOOKUP($H54,DB!$B:$M,10,FALSE),"")</f>
        <v>정보 없음</v>
      </c>
    </row>
    <row r="55" spans="3:21">
      <c r="C55" s="1" t="s">
        <v>100</v>
      </c>
      <c r="D55" s="1" t="s">
        <v>152</v>
      </c>
      <c r="E55" s="1" t="s">
        <v>356</v>
      </c>
      <c r="F55" s="1" t="s">
        <v>85</v>
      </c>
      <c r="G55" s="1" t="s">
        <v>86</v>
      </c>
      <c r="H55" s="3" t="s">
        <v>87</v>
      </c>
      <c r="I55" s="1">
        <v>309</v>
      </c>
      <c r="J55" s="1" t="s">
        <v>31</v>
      </c>
      <c r="K55" s="1" t="s">
        <v>111</v>
      </c>
      <c r="L55" s="1">
        <v>1</v>
      </c>
      <c r="N55" s="1">
        <f t="shared" si="0"/>
        <v>1</v>
      </c>
      <c r="P55" s="14">
        <f>_xlfn.IFNA(VLOOKUP($H55,DB!$B:$M,5,FALSE),"")</f>
        <v>0</v>
      </c>
      <c r="Q55" s="14">
        <f>_xlfn.IFNA(VLOOKUP($H55,DB!$B:$M,6,FALSE),"")</f>
        <v>0</v>
      </c>
      <c r="R55" s="14">
        <f>_xlfn.IFNA(VLOOKUP($H55,DB!$B:$M,7,FALSE),"")</f>
        <v>0</v>
      </c>
      <c r="S55" s="14">
        <f>_xlfn.IFNA(VLOOKUP($H55,DB!$B:$M,8,FALSE),"")</f>
        <v>0</v>
      </c>
      <c r="T55" s="14" t="str">
        <f>_xlfn.IFNA(VLOOKUP($H55,DB!$B:$M,9,FALSE),"")</f>
        <v>정보 없음</v>
      </c>
      <c r="U55" s="14" t="str">
        <f>_xlfn.IFNA(VLOOKUP($H55,DB!$B:$M,10,FALSE),"")</f>
        <v>정보 없음</v>
      </c>
    </row>
    <row r="56" spans="3:21">
      <c r="C56" s="1" t="s">
        <v>100</v>
      </c>
      <c r="D56" s="1" t="s">
        <v>153</v>
      </c>
      <c r="E56" s="1" t="s">
        <v>356</v>
      </c>
      <c r="F56" s="1" t="s">
        <v>85</v>
      </c>
      <c r="G56" s="1" t="s">
        <v>86</v>
      </c>
      <c r="H56" s="3" t="s">
        <v>87</v>
      </c>
      <c r="I56" s="1">
        <v>309</v>
      </c>
      <c r="J56" s="1" t="s">
        <v>31</v>
      </c>
      <c r="K56" s="1" t="s">
        <v>111</v>
      </c>
      <c r="L56" s="1">
        <v>1</v>
      </c>
      <c r="N56" s="1">
        <f t="shared" si="0"/>
        <v>1</v>
      </c>
      <c r="P56" s="14">
        <f>_xlfn.IFNA(VLOOKUP($H56,DB!$B:$M,5,FALSE),"")</f>
        <v>0</v>
      </c>
      <c r="Q56" s="14">
        <f>_xlfn.IFNA(VLOOKUP($H56,DB!$B:$M,6,FALSE),"")</f>
        <v>0</v>
      </c>
      <c r="R56" s="14">
        <f>_xlfn.IFNA(VLOOKUP($H56,DB!$B:$M,7,FALSE),"")</f>
        <v>0</v>
      </c>
      <c r="S56" s="14">
        <f>_xlfn.IFNA(VLOOKUP($H56,DB!$B:$M,8,FALSE),"")</f>
        <v>0</v>
      </c>
      <c r="T56" s="14" t="str">
        <f>_xlfn.IFNA(VLOOKUP($H56,DB!$B:$M,9,FALSE),"")</f>
        <v>정보 없음</v>
      </c>
      <c r="U56" s="14" t="str">
        <f>_xlfn.IFNA(VLOOKUP($H56,DB!$B:$M,10,FALSE),"")</f>
        <v>정보 없음</v>
      </c>
    </row>
    <row r="57" spans="3:21">
      <c r="C57" s="1" t="s">
        <v>100</v>
      </c>
      <c r="D57" s="1" t="s">
        <v>154</v>
      </c>
      <c r="E57" s="1" t="s">
        <v>356</v>
      </c>
      <c r="F57" s="1" t="s">
        <v>85</v>
      </c>
      <c r="G57" s="1" t="s">
        <v>86</v>
      </c>
      <c r="H57" s="3" t="s">
        <v>87</v>
      </c>
      <c r="I57" s="1">
        <v>309</v>
      </c>
      <c r="J57" s="1" t="s">
        <v>31</v>
      </c>
      <c r="K57" s="1" t="s">
        <v>111</v>
      </c>
      <c r="L57" s="1">
        <v>1</v>
      </c>
      <c r="N57" s="1">
        <f t="shared" si="0"/>
        <v>1</v>
      </c>
      <c r="P57" s="14">
        <f>_xlfn.IFNA(VLOOKUP($H57,DB!$B:$M,5,FALSE),"")</f>
        <v>0</v>
      </c>
      <c r="Q57" s="14">
        <f>_xlfn.IFNA(VLOOKUP($H57,DB!$B:$M,6,FALSE),"")</f>
        <v>0</v>
      </c>
      <c r="R57" s="14">
        <f>_xlfn.IFNA(VLOOKUP($H57,DB!$B:$M,7,FALSE),"")</f>
        <v>0</v>
      </c>
      <c r="S57" s="14">
        <f>_xlfn.IFNA(VLOOKUP($H57,DB!$B:$M,8,FALSE),"")</f>
        <v>0</v>
      </c>
      <c r="T57" s="14" t="str">
        <f>_xlfn.IFNA(VLOOKUP($H57,DB!$B:$M,9,FALSE),"")</f>
        <v>정보 없음</v>
      </c>
      <c r="U57" s="14" t="str">
        <f>_xlfn.IFNA(VLOOKUP($H57,DB!$B:$M,10,FALSE),"")</f>
        <v>정보 없음</v>
      </c>
    </row>
    <row r="58" spans="3:21">
      <c r="C58" s="1" t="s">
        <v>100</v>
      </c>
      <c r="D58" s="1" t="s">
        <v>155</v>
      </c>
      <c r="E58" s="1" t="s">
        <v>356</v>
      </c>
      <c r="F58" s="1" t="s">
        <v>85</v>
      </c>
      <c r="G58" s="1" t="s">
        <v>86</v>
      </c>
      <c r="H58" s="3" t="s">
        <v>87</v>
      </c>
      <c r="I58" s="1">
        <v>309</v>
      </c>
      <c r="J58" s="1" t="s">
        <v>31</v>
      </c>
      <c r="K58" s="1" t="s">
        <v>111</v>
      </c>
      <c r="L58" s="1">
        <v>1</v>
      </c>
      <c r="N58" s="1">
        <f t="shared" si="0"/>
        <v>1</v>
      </c>
      <c r="P58" s="14">
        <f>_xlfn.IFNA(VLOOKUP($H58,DB!$B:$M,5,FALSE),"")</f>
        <v>0</v>
      </c>
      <c r="Q58" s="14">
        <f>_xlfn.IFNA(VLOOKUP($H58,DB!$B:$M,6,FALSE),"")</f>
        <v>0</v>
      </c>
      <c r="R58" s="14">
        <f>_xlfn.IFNA(VLOOKUP($H58,DB!$B:$M,7,FALSE),"")</f>
        <v>0</v>
      </c>
      <c r="S58" s="14">
        <f>_xlfn.IFNA(VLOOKUP($H58,DB!$B:$M,8,FALSE),"")</f>
        <v>0</v>
      </c>
      <c r="T58" s="14" t="str">
        <f>_xlfn.IFNA(VLOOKUP($H58,DB!$B:$M,9,FALSE),"")</f>
        <v>정보 없음</v>
      </c>
      <c r="U58" s="14" t="str">
        <f>_xlfn.IFNA(VLOOKUP($H58,DB!$B:$M,10,FALSE),"")</f>
        <v>정보 없음</v>
      </c>
    </row>
    <row r="59" spans="3:21">
      <c r="C59" s="1" t="s">
        <v>100</v>
      </c>
      <c r="D59" s="1" t="s">
        <v>156</v>
      </c>
      <c r="E59" s="1" t="s">
        <v>356</v>
      </c>
      <c r="F59" s="1" t="s">
        <v>85</v>
      </c>
      <c r="G59" s="1" t="s">
        <v>86</v>
      </c>
      <c r="H59" s="3" t="s">
        <v>87</v>
      </c>
      <c r="I59" s="1">
        <v>309</v>
      </c>
      <c r="J59" s="1" t="s">
        <v>31</v>
      </c>
      <c r="K59" s="1" t="s">
        <v>111</v>
      </c>
      <c r="L59" s="1">
        <v>1</v>
      </c>
      <c r="N59" s="1">
        <f t="shared" si="0"/>
        <v>1</v>
      </c>
      <c r="P59" s="14">
        <f>_xlfn.IFNA(VLOOKUP($H59,DB!$B:$M,5,FALSE),"")</f>
        <v>0</v>
      </c>
      <c r="Q59" s="14">
        <f>_xlfn.IFNA(VLOOKUP($H59,DB!$B:$M,6,FALSE),"")</f>
        <v>0</v>
      </c>
      <c r="R59" s="14">
        <f>_xlfn.IFNA(VLOOKUP($H59,DB!$B:$M,7,FALSE),"")</f>
        <v>0</v>
      </c>
      <c r="S59" s="14">
        <f>_xlfn.IFNA(VLOOKUP($H59,DB!$B:$M,8,FALSE),"")</f>
        <v>0</v>
      </c>
      <c r="T59" s="14" t="str">
        <f>_xlfn.IFNA(VLOOKUP($H59,DB!$B:$M,9,FALSE),"")</f>
        <v>정보 없음</v>
      </c>
      <c r="U59" s="14" t="str">
        <f>_xlfn.IFNA(VLOOKUP($H59,DB!$B:$M,10,FALSE),"")</f>
        <v>정보 없음</v>
      </c>
    </row>
    <row r="60" spans="3:21">
      <c r="C60" s="1" t="s">
        <v>100</v>
      </c>
      <c r="D60" s="1" t="s">
        <v>157</v>
      </c>
      <c r="E60" s="1" t="s">
        <v>356</v>
      </c>
      <c r="F60" s="1" t="s">
        <v>85</v>
      </c>
      <c r="G60" s="1" t="s">
        <v>86</v>
      </c>
      <c r="H60" s="3" t="s">
        <v>87</v>
      </c>
      <c r="I60" s="1">
        <v>309</v>
      </c>
      <c r="J60" s="1" t="s">
        <v>31</v>
      </c>
      <c r="K60" s="1" t="s">
        <v>111</v>
      </c>
      <c r="L60" s="1">
        <v>1</v>
      </c>
      <c r="N60" s="1">
        <f t="shared" si="0"/>
        <v>1</v>
      </c>
      <c r="P60" s="14">
        <f>_xlfn.IFNA(VLOOKUP($H60,DB!$B:$M,5,FALSE),"")</f>
        <v>0</v>
      </c>
      <c r="Q60" s="14">
        <f>_xlfn.IFNA(VLOOKUP($H60,DB!$B:$M,6,FALSE),"")</f>
        <v>0</v>
      </c>
      <c r="R60" s="14">
        <f>_xlfn.IFNA(VLOOKUP($H60,DB!$B:$M,7,FALSE),"")</f>
        <v>0</v>
      </c>
      <c r="S60" s="14">
        <f>_xlfn.IFNA(VLOOKUP($H60,DB!$B:$M,8,FALSE),"")</f>
        <v>0</v>
      </c>
      <c r="T60" s="14" t="str">
        <f>_xlfn.IFNA(VLOOKUP($H60,DB!$B:$M,9,FALSE),"")</f>
        <v>정보 없음</v>
      </c>
      <c r="U60" s="14" t="str">
        <f>_xlfn.IFNA(VLOOKUP($H60,DB!$B:$M,10,FALSE),"")</f>
        <v>정보 없음</v>
      </c>
    </row>
    <row r="61" spans="3:21">
      <c r="C61" s="1" t="s">
        <v>100</v>
      </c>
      <c r="D61" s="1" t="s">
        <v>158</v>
      </c>
      <c r="E61" s="1" t="s">
        <v>356</v>
      </c>
      <c r="F61" s="1" t="s">
        <v>85</v>
      </c>
      <c r="G61" s="1" t="s">
        <v>86</v>
      </c>
      <c r="H61" s="3" t="s">
        <v>87</v>
      </c>
      <c r="I61" s="1">
        <v>309</v>
      </c>
      <c r="J61" s="1" t="s">
        <v>31</v>
      </c>
      <c r="K61" s="1" t="s">
        <v>111</v>
      </c>
      <c r="L61" s="1">
        <v>1</v>
      </c>
      <c r="N61" s="1">
        <f t="shared" si="0"/>
        <v>1</v>
      </c>
      <c r="P61" s="14">
        <f>_xlfn.IFNA(VLOOKUP($H61,DB!$B:$M,5,FALSE),"")</f>
        <v>0</v>
      </c>
      <c r="Q61" s="14">
        <f>_xlfn.IFNA(VLOOKUP($H61,DB!$B:$M,6,FALSE),"")</f>
        <v>0</v>
      </c>
      <c r="R61" s="14">
        <f>_xlfn.IFNA(VLOOKUP($H61,DB!$B:$M,7,FALSE),"")</f>
        <v>0</v>
      </c>
      <c r="S61" s="14">
        <f>_xlfn.IFNA(VLOOKUP($H61,DB!$B:$M,8,FALSE),"")</f>
        <v>0</v>
      </c>
      <c r="T61" s="14" t="str">
        <f>_xlfn.IFNA(VLOOKUP($H61,DB!$B:$M,9,FALSE),"")</f>
        <v>정보 없음</v>
      </c>
      <c r="U61" s="14" t="str">
        <f>_xlfn.IFNA(VLOOKUP($H61,DB!$B:$M,10,FALSE),"")</f>
        <v>정보 없음</v>
      </c>
    </row>
    <row r="62" spans="3:21">
      <c r="C62" s="1" t="s">
        <v>100</v>
      </c>
      <c r="D62" s="1" t="s">
        <v>159</v>
      </c>
      <c r="E62" s="1" t="s">
        <v>356</v>
      </c>
      <c r="F62" s="1" t="s">
        <v>85</v>
      </c>
      <c r="G62" s="1" t="s">
        <v>86</v>
      </c>
      <c r="H62" s="3" t="s">
        <v>87</v>
      </c>
      <c r="I62" s="1">
        <v>309</v>
      </c>
      <c r="J62" s="1" t="s">
        <v>31</v>
      </c>
      <c r="K62" s="1" t="s">
        <v>111</v>
      </c>
      <c r="L62" s="1">
        <v>1</v>
      </c>
      <c r="N62" s="1">
        <f t="shared" si="0"/>
        <v>1</v>
      </c>
      <c r="P62" s="14">
        <f>_xlfn.IFNA(VLOOKUP($H62,DB!$B:$M,5,FALSE),"")</f>
        <v>0</v>
      </c>
      <c r="Q62" s="14">
        <f>_xlfn.IFNA(VLOOKUP($H62,DB!$B:$M,6,FALSE),"")</f>
        <v>0</v>
      </c>
      <c r="R62" s="14">
        <f>_xlfn.IFNA(VLOOKUP($H62,DB!$B:$M,7,FALSE),"")</f>
        <v>0</v>
      </c>
      <c r="S62" s="14">
        <f>_xlfn.IFNA(VLOOKUP($H62,DB!$B:$M,8,FALSE),"")</f>
        <v>0</v>
      </c>
      <c r="T62" s="14" t="str">
        <f>_xlfn.IFNA(VLOOKUP($H62,DB!$B:$M,9,FALSE),"")</f>
        <v>정보 없음</v>
      </c>
      <c r="U62" s="14" t="str">
        <f>_xlfn.IFNA(VLOOKUP($H62,DB!$B:$M,10,FALSE),"")</f>
        <v>정보 없음</v>
      </c>
    </row>
    <row r="63" spans="3:21">
      <c r="C63" s="1" t="s">
        <v>100</v>
      </c>
      <c r="D63" s="1" t="s">
        <v>160</v>
      </c>
      <c r="E63" s="1" t="s">
        <v>356</v>
      </c>
      <c r="F63" s="1" t="s">
        <v>85</v>
      </c>
      <c r="G63" s="1" t="s">
        <v>86</v>
      </c>
      <c r="H63" s="3" t="s">
        <v>87</v>
      </c>
      <c r="I63" s="1">
        <v>309</v>
      </c>
      <c r="J63" s="1" t="s">
        <v>31</v>
      </c>
      <c r="K63" s="1" t="s">
        <v>111</v>
      </c>
      <c r="L63" s="1">
        <v>1</v>
      </c>
      <c r="N63" s="1">
        <f t="shared" si="0"/>
        <v>1</v>
      </c>
      <c r="P63" s="14">
        <f>_xlfn.IFNA(VLOOKUP($H63,DB!$B:$M,5,FALSE),"")</f>
        <v>0</v>
      </c>
      <c r="Q63" s="14">
        <f>_xlfn.IFNA(VLOOKUP($H63,DB!$B:$M,6,FALSE),"")</f>
        <v>0</v>
      </c>
      <c r="R63" s="14">
        <f>_xlfn.IFNA(VLOOKUP($H63,DB!$B:$M,7,FALSE),"")</f>
        <v>0</v>
      </c>
      <c r="S63" s="14">
        <f>_xlfn.IFNA(VLOOKUP($H63,DB!$B:$M,8,FALSE),"")</f>
        <v>0</v>
      </c>
      <c r="T63" s="14" t="str">
        <f>_xlfn.IFNA(VLOOKUP($H63,DB!$B:$M,9,FALSE),"")</f>
        <v>정보 없음</v>
      </c>
      <c r="U63" s="14" t="str">
        <f>_xlfn.IFNA(VLOOKUP($H63,DB!$B:$M,10,FALSE),"")</f>
        <v>정보 없음</v>
      </c>
    </row>
    <row r="64" spans="3:21">
      <c r="C64" s="1" t="s">
        <v>100</v>
      </c>
      <c r="D64" s="1" t="s">
        <v>161</v>
      </c>
      <c r="E64" s="1" t="s">
        <v>356</v>
      </c>
      <c r="F64" s="1" t="s">
        <v>85</v>
      </c>
      <c r="G64" s="1" t="s">
        <v>86</v>
      </c>
      <c r="H64" s="3" t="s">
        <v>87</v>
      </c>
      <c r="I64" s="1">
        <v>309</v>
      </c>
      <c r="J64" s="1" t="s">
        <v>31</v>
      </c>
      <c r="K64" s="1" t="s">
        <v>111</v>
      </c>
      <c r="L64" s="1">
        <v>1</v>
      </c>
      <c r="N64" s="1">
        <f t="shared" si="0"/>
        <v>1</v>
      </c>
      <c r="P64" s="14">
        <f>_xlfn.IFNA(VLOOKUP($H64,DB!$B:$M,5,FALSE),"")</f>
        <v>0</v>
      </c>
      <c r="Q64" s="14">
        <f>_xlfn.IFNA(VLOOKUP($H64,DB!$B:$M,6,FALSE),"")</f>
        <v>0</v>
      </c>
      <c r="R64" s="14">
        <f>_xlfn.IFNA(VLOOKUP($H64,DB!$B:$M,7,FALSE),"")</f>
        <v>0</v>
      </c>
      <c r="S64" s="14">
        <f>_xlfn.IFNA(VLOOKUP($H64,DB!$B:$M,8,FALSE),"")</f>
        <v>0</v>
      </c>
      <c r="T64" s="14" t="str">
        <f>_xlfn.IFNA(VLOOKUP($H64,DB!$B:$M,9,FALSE),"")</f>
        <v>정보 없음</v>
      </c>
      <c r="U64" s="14" t="str">
        <f>_xlfn.IFNA(VLOOKUP($H64,DB!$B:$M,10,FALSE),"")</f>
        <v>정보 없음</v>
      </c>
    </row>
    <row r="65" spans="3:21">
      <c r="C65" s="1" t="s">
        <v>100</v>
      </c>
      <c r="D65" s="1" t="s">
        <v>162</v>
      </c>
      <c r="E65" s="1" t="s">
        <v>356</v>
      </c>
      <c r="F65" s="1" t="s">
        <v>85</v>
      </c>
      <c r="G65" s="1" t="s">
        <v>86</v>
      </c>
      <c r="H65" s="3" t="s">
        <v>87</v>
      </c>
      <c r="I65" s="1">
        <v>309</v>
      </c>
      <c r="J65" s="1" t="s">
        <v>31</v>
      </c>
      <c r="K65" s="1" t="s">
        <v>111</v>
      </c>
      <c r="L65" s="1">
        <v>1</v>
      </c>
      <c r="N65" s="1">
        <f t="shared" si="0"/>
        <v>1</v>
      </c>
      <c r="P65" s="14">
        <f>_xlfn.IFNA(VLOOKUP($H65,DB!$B:$M,5,FALSE),"")</f>
        <v>0</v>
      </c>
      <c r="Q65" s="14">
        <f>_xlfn.IFNA(VLOOKUP($H65,DB!$B:$M,6,FALSE),"")</f>
        <v>0</v>
      </c>
      <c r="R65" s="14">
        <f>_xlfn.IFNA(VLOOKUP($H65,DB!$B:$M,7,FALSE),"")</f>
        <v>0</v>
      </c>
      <c r="S65" s="14">
        <f>_xlfn.IFNA(VLOOKUP($H65,DB!$B:$M,8,FALSE),"")</f>
        <v>0</v>
      </c>
      <c r="T65" s="14" t="str">
        <f>_xlfn.IFNA(VLOOKUP($H65,DB!$B:$M,9,FALSE),"")</f>
        <v>정보 없음</v>
      </c>
      <c r="U65" s="14" t="str">
        <f>_xlfn.IFNA(VLOOKUP($H65,DB!$B:$M,10,FALSE),"")</f>
        <v>정보 없음</v>
      </c>
    </row>
    <row r="66" spans="3:21">
      <c r="C66" s="1" t="s">
        <v>100</v>
      </c>
      <c r="D66" s="1" t="s">
        <v>163</v>
      </c>
      <c r="E66" s="1" t="s">
        <v>356</v>
      </c>
      <c r="F66" s="1" t="s">
        <v>85</v>
      </c>
      <c r="G66" s="1" t="s">
        <v>86</v>
      </c>
      <c r="H66" s="3" t="s">
        <v>87</v>
      </c>
      <c r="I66" s="1">
        <v>309</v>
      </c>
      <c r="J66" s="1" t="s">
        <v>31</v>
      </c>
      <c r="K66" s="1" t="s">
        <v>111</v>
      </c>
      <c r="L66" s="1">
        <v>1</v>
      </c>
      <c r="N66" s="1">
        <f t="shared" ref="N66:N129" si="1">IF(TRIM(D66)="", "", IF(N(L66)-N(M66)&lt;=0, "X", N(L66)-N(M66)))</f>
        <v>1</v>
      </c>
      <c r="P66" s="14">
        <f>_xlfn.IFNA(VLOOKUP($H66,DB!$B:$M,5,FALSE),"")</f>
        <v>0</v>
      </c>
      <c r="Q66" s="14">
        <f>_xlfn.IFNA(VLOOKUP($H66,DB!$B:$M,6,FALSE),"")</f>
        <v>0</v>
      </c>
      <c r="R66" s="14">
        <f>_xlfn.IFNA(VLOOKUP($H66,DB!$B:$M,7,FALSE),"")</f>
        <v>0</v>
      </c>
      <c r="S66" s="14">
        <f>_xlfn.IFNA(VLOOKUP($H66,DB!$B:$M,8,FALSE),"")</f>
        <v>0</v>
      </c>
      <c r="T66" s="14" t="str">
        <f>_xlfn.IFNA(VLOOKUP($H66,DB!$B:$M,9,FALSE),"")</f>
        <v>정보 없음</v>
      </c>
      <c r="U66" s="14" t="str">
        <f>_xlfn.IFNA(VLOOKUP($H66,DB!$B:$M,10,FALSE),"")</f>
        <v>정보 없음</v>
      </c>
    </row>
    <row r="67" spans="3:21">
      <c r="C67" s="1" t="s">
        <v>100</v>
      </c>
      <c r="D67" s="1" t="s">
        <v>164</v>
      </c>
      <c r="E67" s="1" t="s">
        <v>356</v>
      </c>
      <c r="F67" s="1" t="s">
        <v>85</v>
      </c>
      <c r="G67" s="1" t="s">
        <v>86</v>
      </c>
      <c r="H67" s="3" t="s">
        <v>87</v>
      </c>
      <c r="I67" s="1">
        <v>309</v>
      </c>
      <c r="J67" s="1" t="s">
        <v>31</v>
      </c>
      <c r="K67" s="1" t="s">
        <v>111</v>
      </c>
      <c r="L67" s="1">
        <v>1</v>
      </c>
      <c r="N67" s="1">
        <f t="shared" si="1"/>
        <v>1</v>
      </c>
      <c r="P67" s="14">
        <f>_xlfn.IFNA(VLOOKUP($H67,DB!$B:$M,5,FALSE),"")</f>
        <v>0</v>
      </c>
      <c r="Q67" s="14">
        <f>_xlfn.IFNA(VLOOKUP($H67,DB!$B:$M,6,FALSE),"")</f>
        <v>0</v>
      </c>
      <c r="R67" s="14">
        <f>_xlfn.IFNA(VLOOKUP($H67,DB!$B:$M,7,FALSE),"")</f>
        <v>0</v>
      </c>
      <c r="S67" s="14">
        <f>_xlfn.IFNA(VLOOKUP($H67,DB!$B:$M,8,FALSE),"")</f>
        <v>0</v>
      </c>
      <c r="T67" s="14" t="str">
        <f>_xlfn.IFNA(VLOOKUP($H67,DB!$B:$M,9,FALSE),"")</f>
        <v>정보 없음</v>
      </c>
      <c r="U67" s="14" t="str">
        <f>_xlfn.IFNA(VLOOKUP($H67,DB!$B:$M,10,FALSE),"")</f>
        <v>정보 없음</v>
      </c>
    </row>
    <row r="68" spans="3:21">
      <c r="C68" s="1" t="s">
        <v>100</v>
      </c>
      <c r="D68" s="1" t="s">
        <v>165</v>
      </c>
      <c r="E68" s="1" t="s">
        <v>356</v>
      </c>
      <c r="F68" s="1" t="s">
        <v>85</v>
      </c>
      <c r="G68" s="1" t="s">
        <v>86</v>
      </c>
      <c r="H68" s="3" t="s">
        <v>87</v>
      </c>
      <c r="I68" s="1">
        <v>309</v>
      </c>
      <c r="J68" s="1" t="s">
        <v>31</v>
      </c>
      <c r="K68" s="1" t="s">
        <v>111</v>
      </c>
      <c r="L68" s="1">
        <v>1</v>
      </c>
      <c r="N68" s="1">
        <f t="shared" si="1"/>
        <v>1</v>
      </c>
      <c r="P68" s="14">
        <f>_xlfn.IFNA(VLOOKUP($H68,DB!$B:$M,5,FALSE),"")</f>
        <v>0</v>
      </c>
      <c r="Q68" s="14">
        <f>_xlfn.IFNA(VLOOKUP($H68,DB!$B:$M,6,FALSE),"")</f>
        <v>0</v>
      </c>
      <c r="R68" s="14">
        <f>_xlfn.IFNA(VLOOKUP($H68,DB!$B:$M,7,FALSE),"")</f>
        <v>0</v>
      </c>
      <c r="S68" s="14">
        <f>_xlfn.IFNA(VLOOKUP($H68,DB!$B:$M,8,FALSE),"")</f>
        <v>0</v>
      </c>
      <c r="T68" s="14" t="str">
        <f>_xlfn.IFNA(VLOOKUP($H68,DB!$B:$M,9,FALSE),"")</f>
        <v>정보 없음</v>
      </c>
      <c r="U68" s="14" t="str">
        <f>_xlfn.IFNA(VLOOKUP($H68,DB!$B:$M,10,FALSE),"")</f>
        <v>정보 없음</v>
      </c>
    </row>
    <row r="69" spans="3:21">
      <c r="C69" s="1" t="s">
        <v>100</v>
      </c>
      <c r="D69" s="1" t="s">
        <v>166</v>
      </c>
      <c r="E69" s="1" t="s">
        <v>356</v>
      </c>
      <c r="F69" s="1" t="s">
        <v>85</v>
      </c>
      <c r="G69" s="1" t="s">
        <v>86</v>
      </c>
      <c r="H69" s="3" t="s">
        <v>87</v>
      </c>
      <c r="I69" s="1">
        <v>309</v>
      </c>
      <c r="J69" s="1" t="s">
        <v>31</v>
      </c>
      <c r="K69" s="1" t="s">
        <v>111</v>
      </c>
      <c r="L69" s="1">
        <v>1</v>
      </c>
      <c r="N69" s="1">
        <f t="shared" si="1"/>
        <v>1</v>
      </c>
      <c r="P69" s="14">
        <f>_xlfn.IFNA(VLOOKUP($H69,DB!$B:$M,5,FALSE),"")</f>
        <v>0</v>
      </c>
      <c r="Q69" s="14">
        <f>_xlfn.IFNA(VLOOKUP($H69,DB!$B:$M,6,FALSE),"")</f>
        <v>0</v>
      </c>
      <c r="R69" s="14">
        <f>_xlfn.IFNA(VLOOKUP($H69,DB!$B:$M,7,FALSE),"")</f>
        <v>0</v>
      </c>
      <c r="S69" s="14">
        <f>_xlfn.IFNA(VLOOKUP($H69,DB!$B:$M,8,FALSE),"")</f>
        <v>0</v>
      </c>
      <c r="T69" s="14" t="str">
        <f>_xlfn.IFNA(VLOOKUP($H69,DB!$B:$M,9,FALSE),"")</f>
        <v>정보 없음</v>
      </c>
      <c r="U69" s="14" t="str">
        <f>_xlfn.IFNA(VLOOKUP($H69,DB!$B:$M,10,FALSE),"")</f>
        <v>정보 없음</v>
      </c>
    </row>
    <row r="70" spans="3:21">
      <c r="C70" s="1" t="s">
        <v>100</v>
      </c>
      <c r="D70" s="1" t="s">
        <v>167</v>
      </c>
      <c r="E70" s="1" t="s">
        <v>356</v>
      </c>
      <c r="F70" s="1" t="s">
        <v>85</v>
      </c>
      <c r="G70" s="1" t="s">
        <v>86</v>
      </c>
      <c r="H70" s="3" t="s">
        <v>87</v>
      </c>
      <c r="I70" s="1">
        <v>309</v>
      </c>
      <c r="J70" s="1" t="s">
        <v>31</v>
      </c>
      <c r="K70" s="1" t="s">
        <v>111</v>
      </c>
      <c r="L70" s="1">
        <v>1</v>
      </c>
      <c r="N70" s="1">
        <f t="shared" si="1"/>
        <v>1</v>
      </c>
      <c r="P70" s="14">
        <f>_xlfn.IFNA(VLOOKUP($H70,DB!$B:$M,5,FALSE),"")</f>
        <v>0</v>
      </c>
      <c r="Q70" s="14">
        <f>_xlfn.IFNA(VLOOKUP($H70,DB!$B:$M,6,FALSE),"")</f>
        <v>0</v>
      </c>
      <c r="R70" s="14">
        <f>_xlfn.IFNA(VLOOKUP($H70,DB!$B:$M,7,FALSE),"")</f>
        <v>0</v>
      </c>
      <c r="S70" s="14">
        <f>_xlfn.IFNA(VLOOKUP($H70,DB!$B:$M,8,FALSE),"")</f>
        <v>0</v>
      </c>
      <c r="T70" s="14" t="str">
        <f>_xlfn.IFNA(VLOOKUP($H70,DB!$B:$M,9,FALSE),"")</f>
        <v>정보 없음</v>
      </c>
      <c r="U70" s="14" t="str">
        <f>_xlfn.IFNA(VLOOKUP($H70,DB!$B:$M,10,FALSE),"")</f>
        <v>정보 없음</v>
      </c>
    </row>
    <row r="71" spans="3:21">
      <c r="C71" s="1" t="s">
        <v>100</v>
      </c>
      <c r="D71" s="1" t="s">
        <v>168</v>
      </c>
      <c r="E71" s="1" t="s">
        <v>356</v>
      </c>
      <c r="F71" s="1" t="s">
        <v>85</v>
      </c>
      <c r="G71" s="1" t="s">
        <v>86</v>
      </c>
      <c r="H71" s="3" t="s">
        <v>87</v>
      </c>
      <c r="I71" s="1">
        <v>309</v>
      </c>
      <c r="J71" s="1" t="s">
        <v>31</v>
      </c>
      <c r="K71" s="1" t="s">
        <v>111</v>
      </c>
      <c r="L71" s="1">
        <v>1</v>
      </c>
      <c r="N71" s="1">
        <f t="shared" si="1"/>
        <v>1</v>
      </c>
      <c r="P71" s="14">
        <f>_xlfn.IFNA(VLOOKUP($H71,DB!$B:$M,5,FALSE),"")</f>
        <v>0</v>
      </c>
      <c r="Q71" s="14">
        <f>_xlfn.IFNA(VLOOKUP($H71,DB!$B:$M,6,FALSE),"")</f>
        <v>0</v>
      </c>
      <c r="R71" s="14">
        <f>_xlfn.IFNA(VLOOKUP($H71,DB!$B:$M,7,FALSE),"")</f>
        <v>0</v>
      </c>
      <c r="S71" s="14">
        <f>_xlfn.IFNA(VLOOKUP($H71,DB!$B:$M,8,FALSE),"")</f>
        <v>0</v>
      </c>
      <c r="T71" s="14" t="str">
        <f>_xlfn.IFNA(VLOOKUP($H71,DB!$B:$M,9,FALSE),"")</f>
        <v>정보 없음</v>
      </c>
      <c r="U71" s="14" t="str">
        <f>_xlfn.IFNA(VLOOKUP($H71,DB!$B:$M,10,FALSE),"")</f>
        <v>정보 없음</v>
      </c>
    </row>
    <row r="72" spans="3:21">
      <c r="C72" s="1" t="s">
        <v>100</v>
      </c>
      <c r="D72" s="1" t="s">
        <v>169</v>
      </c>
      <c r="E72" s="1" t="s">
        <v>356</v>
      </c>
      <c r="F72" s="1" t="s">
        <v>85</v>
      </c>
      <c r="G72" s="1" t="s">
        <v>86</v>
      </c>
      <c r="H72" s="3" t="s">
        <v>87</v>
      </c>
      <c r="I72" s="1">
        <v>309</v>
      </c>
      <c r="J72" s="1" t="s">
        <v>31</v>
      </c>
      <c r="K72" s="1" t="s">
        <v>111</v>
      </c>
      <c r="L72" s="1">
        <v>1</v>
      </c>
      <c r="N72" s="1">
        <f t="shared" si="1"/>
        <v>1</v>
      </c>
      <c r="P72" s="14">
        <f>_xlfn.IFNA(VLOOKUP($H72,DB!$B:$M,5,FALSE),"")</f>
        <v>0</v>
      </c>
      <c r="Q72" s="14">
        <f>_xlfn.IFNA(VLOOKUP($H72,DB!$B:$M,6,FALSE),"")</f>
        <v>0</v>
      </c>
      <c r="R72" s="14">
        <f>_xlfn.IFNA(VLOOKUP($H72,DB!$B:$M,7,FALSE),"")</f>
        <v>0</v>
      </c>
      <c r="S72" s="14">
        <f>_xlfn.IFNA(VLOOKUP($H72,DB!$B:$M,8,FALSE),"")</f>
        <v>0</v>
      </c>
      <c r="T72" s="14" t="str">
        <f>_xlfn.IFNA(VLOOKUP($H72,DB!$B:$M,9,FALSE),"")</f>
        <v>정보 없음</v>
      </c>
      <c r="U72" s="14" t="str">
        <f>_xlfn.IFNA(VLOOKUP($H72,DB!$B:$M,10,FALSE),"")</f>
        <v>정보 없음</v>
      </c>
    </row>
    <row r="73" spans="3:21">
      <c r="C73" s="1" t="s">
        <v>100</v>
      </c>
      <c r="D73" s="1" t="s">
        <v>170</v>
      </c>
      <c r="E73" s="1" t="s">
        <v>356</v>
      </c>
      <c r="F73" s="1" t="s">
        <v>85</v>
      </c>
      <c r="G73" s="1" t="s">
        <v>86</v>
      </c>
      <c r="H73" s="3" t="s">
        <v>87</v>
      </c>
      <c r="I73" s="1">
        <v>309</v>
      </c>
      <c r="J73" s="1" t="s">
        <v>31</v>
      </c>
      <c r="K73" s="1" t="s">
        <v>111</v>
      </c>
      <c r="L73" s="1">
        <v>1</v>
      </c>
      <c r="N73" s="1">
        <f t="shared" si="1"/>
        <v>1</v>
      </c>
      <c r="P73" s="14">
        <f>_xlfn.IFNA(VLOOKUP($H73,DB!$B:$M,5,FALSE),"")</f>
        <v>0</v>
      </c>
      <c r="Q73" s="14">
        <f>_xlfn.IFNA(VLOOKUP($H73,DB!$B:$M,6,FALSE),"")</f>
        <v>0</v>
      </c>
      <c r="R73" s="14">
        <f>_xlfn.IFNA(VLOOKUP($H73,DB!$B:$M,7,FALSE),"")</f>
        <v>0</v>
      </c>
      <c r="S73" s="14">
        <f>_xlfn.IFNA(VLOOKUP($H73,DB!$B:$M,8,FALSE),"")</f>
        <v>0</v>
      </c>
      <c r="T73" s="14" t="str">
        <f>_xlfn.IFNA(VLOOKUP($H73,DB!$B:$M,9,FALSE),"")</f>
        <v>정보 없음</v>
      </c>
      <c r="U73" s="14" t="str">
        <f>_xlfn.IFNA(VLOOKUP($H73,DB!$B:$M,10,FALSE),"")</f>
        <v>정보 없음</v>
      </c>
    </row>
    <row r="74" spans="3:21">
      <c r="C74" s="1" t="s">
        <v>100</v>
      </c>
      <c r="D74" s="1" t="s">
        <v>171</v>
      </c>
      <c r="E74" s="1" t="s">
        <v>356</v>
      </c>
      <c r="F74" s="1" t="s">
        <v>85</v>
      </c>
      <c r="G74" s="1" t="s">
        <v>86</v>
      </c>
      <c r="H74" s="3" t="s">
        <v>87</v>
      </c>
      <c r="I74" s="1">
        <v>309</v>
      </c>
      <c r="J74" s="1" t="s">
        <v>31</v>
      </c>
      <c r="K74" s="1" t="s">
        <v>111</v>
      </c>
      <c r="L74" s="1">
        <v>1</v>
      </c>
      <c r="N74" s="1">
        <f t="shared" si="1"/>
        <v>1</v>
      </c>
      <c r="P74" s="14">
        <f>_xlfn.IFNA(VLOOKUP($H74,DB!$B:$M,5,FALSE),"")</f>
        <v>0</v>
      </c>
      <c r="Q74" s="14">
        <f>_xlfn.IFNA(VLOOKUP($H74,DB!$B:$M,6,FALSE),"")</f>
        <v>0</v>
      </c>
      <c r="R74" s="14">
        <f>_xlfn.IFNA(VLOOKUP($H74,DB!$B:$M,7,FALSE),"")</f>
        <v>0</v>
      </c>
      <c r="S74" s="14">
        <f>_xlfn.IFNA(VLOOKUP($H74,DB!$B:$M,8,FALSE),"")</f>
        <v>0</v>
      </c>
      <c r="T74" s="14" t="str">
        <f>_xlfn.IFNA(VLOOKUP($H74,DB!$B:$M,9,FALSE),"")</f>
        <v>정보 없음</v>
      </c>
      <c r="U74" s="14" t="str">
        <f>_xlfn.IFNA(VLOOKUP($H74,DB!$B:$M,10,FALSE),"")</f>
        <v>정보 없음</v>
      </c>
    </row>
    <row r="75" spans="3:21">
      <c r="C75" s="1" t="s">
        <v>100</v>
      </c>
      <c r="D75" s="1" t="s">
        <v>172</v>
      </c>
      <c r="E75" s="1" t="s">
        <v>356</v>
      </c>
      <c r="F75" s="1" t="s">
        <v>173</v>
      </c>
      <c r="G75" s="1" t="s">
        <v>174</v>
      </c>
      <c r="H75" s="3" t="s">
        <v>87</v>
      </c>
      <c r="I75" s="1">
        <v>309</v>
      </c>
      <c r="J75" s="1" t="s">
        <v>31</v>
      </c>
      <c r="K75" s="1" t="s">
        <v>111</v>
      </c>
      <c r="L75" s="1">
        <v>1</v>
      </c>
      <c r="N75" s="1">
        <f t="shared" si="1"/>
        <v>1</v>
      </c>
      <c r="P75" s="14">
        <f>_xlfn.IFNA(VLOOKUP($H75,DB!$B:$M,5,FALSE),"")</f>
        <v>0</v>
      </c>
      <c r="Q75" s="14">
        <f>_xlfn.IFNA(VLOOKUP($H75,DB!$B:$M,6,FALSE),"")</f>
        <v>0</v>
      </c>
      <c r="R75" s="14">
        <f>_xlfn.IFNA(VLOOKUP($H75,DB!$B:$M,7,FALSE),"")</f>
        <v>0</v>
      </c>
      <c r="S75" s="14">
        <f>_xlfn.IFNA(VLOOKUP($H75,DB!$B:$M,8,FALSE),"")</f>
        <v>0</v>
      </c>
      <c r="T75" s="14" t="str">
        <f>_xlfn.IFNA(VLOOKUP($H75,DB!$B:$M,9,FALSE),"")</f>
        <v>정보 없음</v>
      </c>
      <c r="U75" s="14" t="str">
        <f>_xlfn.IFNA(VLOOKUP($H75,DB!$B:$M,10,FALSE),"")</f>
        <v>정보 없음</v>
      </c>
    </row>
    <row r="76" spans="3:21">
      <c r="C76" s="1" t="s">
        <v>100</v>
      </c>
      <c r="D76" s="1" t="s">
        <v>175</v>
      </c>
      <c r="E76" s="1" t="s">
        <v>356</v>
      </c>
      <c r="F76" s="1" t="s">
        <v>176</v>
      </c>
      <c r="G76" s="1" t="s">
        <v>177</v>
      </c>
      <c r="H76" s="3" t="s">
        <v>87</v>
      </c>
      <c r="I76" s="1">
        <v>309</v>
      </c>
      <c r="J76" s="1" t="s">
        <v>31</v>
      </c>
      <c r="K76" s="1" t="s">
        <v>111</v>
      </c>
      <c r="L76" s="1">
        <v>1</v>
      </c>
      <c r="N76" s="1">
        <f t="shared" si="1"/>
        <v>1</v>
      </c>
      <c r="P76" s="14">
        <f>_xlfn.IFNA(VLOOKUP($H76,DB!$B:$M,5,FALSE),"")</f>
        <v>0</v>
      </c>
      <c r="Q76" s="14">
        <f>_xlfn.IFNA(VLOOKUP($H76,DB!$B:$M,6,FALSE),"")</f>
        <v>0</v>
      </c>
      <c r="R76" s="14">
        <f>_xlfn.IFNA(VLOOKUP($H76,DB!$B:$M,7,FALSE),"")</f>
        <v>0</v>
      </c>
      <c r="S76" s="14">
        <f>_xlfn.IFNA(VLOOKUP($H76,DB!$B:$M,8,FALSE),"")</f>
        <v>0</v>
      </c>
      <c r="T76" s="14" t="str">
        <f>_xlfn.IFNA(VLOOKUP($H76,DB!$B:$M,9,FALSE),"")</f>
        <v>정보 없음</v>
      </c>
      <c r="U76" s="14" t="str">
        <f>_xlfn.IFNA(VLOOKUP($H76,DB!$B:$M,10,FALSE),"")</f>
        <v>정보 없음</v>
      </c>
    </row>
    <row r="77" spans="3:21">
      <c r="C77" s="1" t="s">
        <v>100</v>
      </c>
      <c r="D77" s="1" t="s">
        <v>178</v>
      </c>
      <c r="E77" s="1" t="s">
        <v>356</v>
      </c>
      <c r="F77" s="1" t="s">
        <v>179</v>
      </c>
      <c r="G77" s="1" t="s">
        <v>180</v>
      </c>
      <c r="H77" s="3" t="s">
        <v>87</v>
      </c>
      <c r="I77" s="1">
        <v>309</v>
      </c>
      <c r="J77" s="1" t="s">
        <v>31</v>
      </c>
      <c r="K77" s="1" t="s">
        <v>111</v>
      </c>
      <c r="L77" s="1">
        <v>1</v>
      </c>
      <c r="N77" s="1">
        <f t="shared" si="1"/>
        <v>1</v>
      </c>
      <c r="P77" s="14">
        <f>_xlfn.IFNA(VLOOKUP($H77,DB!$B:$M,5,FALSE),"")</f>
        <v>0</v>
      </c>
      <c r="Q77" s="14">
        <f>_xlfn.IFNA(VLOOKUP($H77,DB!$B:$M,6,FALSE),"")</f>
        <v>0</v>
      </c>
      <c r="R77" s="14">
        <f>_xlfn.IFNA(VLOOKUP($H77,DB!$B:$M,7,FALSE),"")</f>
        <v>0</v>
      </c>
      <c r="S77" s="14">
        <f>_xlfn.IFNA(VLOOKUP($H77,DB!$B:$M,8,FALSE),"")</f>
        <v>0</v>
      </c>
      <c r="T77" s="14" t="str">
        <f>_xlfn.IFNA(VLOOKUP($H77,DB!$B:$M,9,FALSE),"")</f>
        <v>정보 없음</v>
      </c>
      <c r="U77" s="14" t="str">
        <f>_xlfn.IFNA(VLOOKUP($H77,DB!$B:$M,10,FALSE),"")</f>
        <v>정보 없음</v>
      </c>
    </row>
    <row r="78" spans="3:21">
      <c r="C78" s="1" t="s">
        <v>100</v>
      </c>
      <c r="D78" s="1" t="s">
        <v>181</v>
      </c>
      <c r="E78" s="1" t="s">
        <v>356</v>
      </c>
      <c r="F78" s="1" t="s">
        <v>182</v>
      </c>
      <c r="G78" s="1" t="s">
        <v>183</v>
      </c>
      <c r="H78" s="3" t="s">
        <v>87</v>
      </c>
      <c r="I78" s="1">
        <v>309</v>
      </c>
      <c r="J78" s="1" t="s">
        <v>31</v>
      </c>
      <c r="K78" s="1" t="s">
        <v>111</v>
      </c>
      <c r="L78" s="1">
        <v>1</v>
      </c>
      <c r="N78" s="1">
        <f t="shared" si="1"/>
        <v>1</v>
      </c>
      <c r="P78" s="14">
        <f>_xlfn.IFNA(VLOOKUP($H78,DB!$B:$M,5,FALSE),"")</f>
        <v>0</v>
      </c>
      <c r="Q78" s="14">
        <f>_xlfn.IFNA(VLOOKUP($H78,DB!$B:$M,6,FALSE),"")</f>
        <v>0</v>
      </c>
      <c r="R78" s="14">
        <f>_xlfn.IFNA(VLOOKUP($H78,DB!$B:$M,7,FALSE),"")</f>
        <v>0</v>
      </c>
      <c r="S78" s="14">
        <f>_xlfn.IFNA(VLOOKUP($H78,DB!$B:$M,8,FALSE),"")</f>
        <v>0</v>
      </c>
      <c r="T78" s="14" t="str">
        <f>_xlfn.IFNA(VLOOKUP($H78,DB!$B:$M,9,FALSE),"")</f>
        <v>정보 없음</v>
      </c>
      <c r="U78" s="14" t="str">
        <f>_xlfn.IFNA(VLOOKUP($H78,DB!$B:$M,10,FALSE),"")</f>
        <v>정보 없음</v>
      </c>
    </row>
    <row r="79" spans="3:21">
      <c r="C79" s="1" t="s">
        <v>100</v>
      </c>
      <c r="D79" s="1" t="s">
        <v>184</v>
      </c>
      <c r="E79" s="1" t="s">
        <v>356</v>
      </c>
      <c r="F79" s="1" t="s">
        <v>185</v>
      </c>
      <c r="G79" s="1" t="s">
        <v>186</v>
      </c>
      <c r="H79" s="3" t="s">
        <v>87</v>
      </c>
      <c r="I79" s="1">
        <v>309</v>
      </c>
      <c r="J79" s="1" t="s">
        <v>31</v>
      </c>
      <c r="K79" s="1" t="s">
        <v>111</v>
      </c>
      <c r="L79" s="1">
        <v>1</v>
      </c>
      <c r="N79" s="1">
        <f t="shared" si="1"/>
        <v>1</v>
      </c>
      <c r="P79" s="14">
        <f>_xlfn.IFNA(VLOOKUP($H79,DB!$B:$M,5,FALSE),"")</f>
        <v>0</v>
      </c>
      <c r="Q79" s="14">
        <f>_xlfn.IFNA(VLOOKUP($H79,DB!$B:$M,6,FALSE),"")</f>
        <v>0</v>
      </c>
      <c r="R79" s="14">
        <f>_xlfn.IFNA(VLOOKUP($H79,DB!$B:$M,7,FALSE),"")</f>
        <v>0</v>
      </c>
      <c r="S79" s="14">
        <f>_xlfn.IFNA(VLOOKUP($H79,DB!$B:$M,8,FALSE),"")</f>
        <v>0</v>
      </c>
      <c r="T79" s="14" t="str">
        <f>_xlfn.IFNA(VLOOKUP($H79,DB!$B:$M,9,FALSE),"")</f>
        <v>정보 없음</v>
      </c>
      <c r="U79" s="14" t="str">
        <f>_xlfn.IFNA(VLOOKUP($H79,DB!$B:$M,10,FALSE),"")</f>
        <v>정보 없음</v>
      </c>
    </row>
    <row r="80" spans="3:21">
      <c r="C80" s="1" t="s">
        <v>100</v>
      </c>
      <c r="D80" s="1" t="s">
        <v>187</v>
      </c>
      <c r="E80" s="1" t="s">
        <v>356</v>
      </c>
      <c r="F80" s="1" t="s">
        <v>188</v>
      </c>
      <c r="G80" s="1" t="s">
        <v>189</v>
      </c>
      <c r="H80" s="3" t="s">
        <v>87</v>
      </c>
      <c r="I80" s="1">
        <v>309</v>
      </c>
      <c r="J80" s="1" t="s">
        <v>31</v>
      </c>
      <c r="K80" s="1" t="s">
        <v>111</v>
      </c>
      <c r="L80" s="1">
        <v>1</v>
      </c>
      <c r="N80" s="1">
        <f t="shared" si="1"/>
        <v>1</v>
      </c>
      <c r="P80" s="14">
        <f>_xlfn.IFNA(VLOOKUP($H80,DB!$B:$M,5,FALSE),"")</f>
        <v>0</v>
      </c>
      <c r="Q80" s="14">
        <f>_xlfn.IFNA(VLOOKUP($H80,DB!$B:$M,6,FALSE),"")</f>
        <v>0</v>
      </c>
      <c r="R80" s="14">
        <f>_xlfn.IFNA(VLOOKUP($H80,DB!$B:$M,7,FALSE),"")</f>
        <v>0</v>
      </c>
      <c r="S80" s="14">
        <f>_xlfn.IFNA(VLOOKUP($H80,DB!$B:$M,8,FALSE),"")</f>
        <v>0</v>
      </c>
      <c r="T80" s="14" t="str">
        <f>_xlfn.IFNA(VLOOKUP($H80,DB!$B:$M,9,FALSE),"")</f>
        <v>정보 없음</v>
      </c>
      <c r="U80" s="14" t="str">
        <f>_xlfn.IFNA(VLOOKUP($H80,DB!$B:$M,10,FALSE),"")</f>
        <v>정보 없음</v>
      </c>
    </row>
    <row r="81" spans="1:21">
      <c r="C81" s="1" t="s">
        <v>100</v>
      </c>
      <c r="D81" s="1" t="s">
        <v>190</v>
      </c>
      <c r="E81" s="1" t="s">
        <v>356</v>
      </c>
      <c r="F81" s="1" t="s">
        <v>191</v>
      </c>
      <c r="G81" s="1" t="s">
        <v>192</v>
      </c>
      <c r="H81" s="3" t="s">
        <v>87</v>
      </c>
      <c r="I81" s="1">
        <v>309</v>
      </c>
      <c r="J81" s="1" t="s">
        <v>31</v>
      </c>
      <c r="K81" s="1" t="s">
        <v>111</v>
      </c>
      <c r="L81" s="1">
        <v>1</v>
      </c>
      <c r="N81" s="1">
        <f t="shared" si="1"/>
        <v>1</v>
      </c>
      <c r="P81" s="14">
        <f>_xlfn.IFNA(VLOOKUP($H81,DB!$B:$M,5,FALSE),"")</f>
        <v>0</v>
      </c>
      <c r="Q81" s="14">
        <f>_xlfn.IFNA(VLOOKUP($H81,DB!$B:$M,6,FALSE),"")</f>
        <v>0</v>
      </c>
      <c r="R81" s="14">
        <f>_xlfn.IFNA(VLOOKUP($H81,DB!$B:$M,7,FALSE),"")</f>
        <v>0</v>
      </c>
      <c r="S81" s="14">
        <f>_xlfn.IFNA(VLOOKUP($H81,DB!$B:$M,8,FALSE),"")</f>
        <v>0</v>
      </c>
      <c r="T81" s="14" t="str">
        <f>_xlfn.IFNA(VLOOKUP($H81,DB!$B:$M,9,FALSE),"")</f>
        <v>정보 없음</v>
      </c>
      <c r="U81" s="14" t="str">
        <f>_xlfn.IFNA(VLOOKUP($H81,DB!$B:$M,10,FALSE),"")</f>
        <v>정보 없음</v>
      </c>
    </row>
    <row r="82" spans="1:21">
      <c r="C82" s="1" t="s">
        <v>100</v>
      </c>
      <c r="D82" s="1" t="s">
        <v>193</v>
      </c>
      <c r="E82" s="1" t="s">
        <v>356</v>
      </c>
      <c r="F82" s="1" t="s">
        <v>194</v>
      </c>
      <c r="G82" s="1" t="s">
        <v>195</v>
      </c>
      <c r="H82" s="3" t="s">
        <v>87</v>
      </c>
      <c r="I82" s="1">
        <v>309</v>
      </c>
      <c r="J82" s="1" t="s">
        <v>31</v>
      </c>
      <c r="K82" s="1" t="s">
        <v>111</v>
      </c>
      <c r="L82" s="1">
        <v>1</v>
      </c>
      <c r="N82" s="1">
        <f t="shared" si="1"/>
        <v>1</v>
      </c>
      <c r="P82" s="14">
        <f>_xlfn.IFNA(VLOOKUP($H82,DB!$B:$M,5,FALSE),"")</f>
        <v>0</v>
      </c>
      <c r="Q82" s="14">
        <f>_xlfn.IFNA(VLOOKUP($H82,DB!$B:$M,6,FALSE),"")</f>
        <v>0</v>
      </c>
      <c r="R82" s="14">
        <f>_xlfn.IFNA(VLOOKUP($H82,DB!$B:$M,7,FALSE),"")</f>
        <v>0</v>
      </c>
      <c r="S82" s="14">
        <f>_xlfn.IFNA(VLOOKUP($H82,DB!$B:$M,8,FALSE),"")</f>
        <v>0</v>
      </c>
      <c r="T82" s="14" t="str">
        <f>_xlfn.IFNA(VLOOKUP($H82,DB!$B:$M,9,FALSE),"")</f>
        <v>정보 없음</v>
      </c>
      <c r="U82" s="14" t="str">
        <f>_xlfn.IFNA(VLOOKUP($H82,DB!$B:$M,10,FALSE),"")</f>
        <v>정보 없음</v>
      </c>
    </row>
    <row r="83" spans="1:21">
      <c r="C83" s="1" t="s">
        <v>100</v>
      </c>
      <c r="D83" s="1" t="s">
        <v>196</v>
      </c>
      <c r="E83" s="1" t="s">
        <v>356</v>
      </c>
      <c r="F83" s="1" t="s">
        <v>197</v>
      </c>
      <c r="G83" s="1" t="s">
        <v>198</v>
      </c>
      <c r="H83" s="3" t="s">
        <v>87</v>
      </c>
      <c r="I83" s="1">
        <v>309</v>
      </c>
      <c r="J83" s="1" t="s">
        <v>31</v>
      </c>
      <c r="K83" s="1" t="s">
        <v>111</v>
      </c>
      <c r="L83" s="1">
        <v>1</v>
      </c>
      <c r="N83" s="1">
        <f t="shared" si="1"/>
        <v>1</v>
      </c>
      <c r="P83" s="14">
        <f>_xlfn.IFNA(VLOOKUP($H83,DB!$B:$M,5,FALSE),"")</f>
        <v>0</v>
      </c>
      <c r="Q83" s="14">
        <f>_xlfn.IFNA(VLOOKUP($H83,DB!$B:$M,6,FALSE),"")</f>
        <v>0</v>
      </c>
      <c r="R83" s="14">
        <f>_xlfn.IFNA(VLOOKUP($H83,DB!$B:$M,7,FALSE),"")</f>
        <v>0</v>
      </c>
      <c r="S83" s="14">
        <f>_xlfn.IFNA(VLOOKUP($H83,DB!$B:$M,8,FALSE),"")</f>
        <v>0</v>
      </c>
      <c r="T83" s="14" t="str">
        <f>_xlfn.IFNA(VLOOKUP($H83,DB!$B:$M,9,FALSE),"")</f>
        <v>정보 없음</v>
      </c>
      <c r="U83" s="14" t="str">
        <f>_xlfn.IFNA(VLOOKUP($H83,DB!$B:$M,10,FALSE),"")</f>
        <v>정보 없음</v>
      </c>
    </row>
    <row r="84" spans="1:21">
      <c r="C84" s="1" t="s">
        <v>100</v>
      </c>
      <c r="D84" s="1" t="s">
        <v>199</v>
      </c>
      <c r="E84" s="1" t="s">
        <v>356</v>
      </c>
      <c r="F84" s="1" t="s">
        <v>200</v>
      </c>
      <c r="G84" s="1" t="s">
        <v>201</v>
      </c>
      <c r="H84" s="3" t="s">
        <v>87</v>
      </c>
      <c r="I84" s="1">
        <v>309</v>
      </c>
      <c r="J84" s="1" t="s">
        <v>31</v>
      </c>
      <c r="K84" s="1" t="s">
        <v>111</v>
      </c>
      <c r="L84" s="1">
        <v>1</v>
      </c>
      <c r="N84" s="1">
        <f t="shared" si="1"/>
        <v>1</v>
      </c>
      <c r="P84" s="14">
        <f>_xlfn.IFNA(VLOOKUP($H84,DB!$B:$M,5,FALSE),"")</f>
        <v>0</v>
      </c>
      <c r="Q84" s="14">
        <f>_xlfn.IFNA(VLOOKUP($H84,DB!$B:$M,6,FALSE),"")</f>
        <v>0</v>
      </c>
      <c r="R84" s="14">
        <f>_xlfn.IFNA(VLOOKUP($H84,DB!$B:$M,7,FALSE),"")</f>
        <v>0</v>
      </c>
      <c r="S84" s="14">
        <f>_xlfn.IFNA(VLOOKUP($H84,DB!$B:$M,8,FALSE),"")</f>
        <v>0</v>
      </c>
      <c r="T84" s="14" t="str">
        <f>_xlfn.IFNA(VLOOKUP($H84,DB!$B:$M,9,FALSE),"")</f>
        <v>정보 없음</v>
      </c>
      <c r="U84" s="14" t="str">
        <f>_xlfn.IFNA(VLOOKUP($H84,DB!$B:$M,10,FALSE),"")</f>
        <v>정보 없음</v>
      </c>
    </row>
    <row r="85" spans="1:21">
      <c r="C85" s="1" t="s">
        <v>100</v>
      </c>
      <c r="D85" s="1" t="s">
        <v>202</v>
      </c>
      <c r="E85" s="1" t="s">
        <v>356</v>
      </c>
      <c r="F85" s="1" t="s">
        <v>203</v>
      </c>
      <c r="G85" s="1" t="s">
        <v>204</v>
      </c>
      <c r="H85" s="3" t="s">
        <v>87</v>
      </c>
      <c r="I85" s="1">
        <v>309</v>
      </c>
      <c r="J85" s="1" t="s">
        <v>31</v>
      </c>
      <c r="K85" s="1" t="s">
        <v>111</v>
      </c>
      <c r="L85" s="1">
        <v>1</v>
      </c>
      <c r="N85" s="1">
        <f t="shared" si="1"/>
        <v>1</v>
      </c>
      <c r="P85" s="14">
        <f>_xlfn.IFNA(VLOOKUP($H85,DB!$B:$M,5,FALSE),"")</f>
        <v>0</v>
      </c>
      <c r="Q85" s="14">
        <f>_xlfn.IFNA(VLOOKUP($H85,DB!$B:$M,6,FALSE),"")</f>
        <v>0</v>
      </c>
      <c r="R85" s="14">
        <f>_xlfn.IFNA(VLOOKUP($H85,DB!$B:$M,7,FALSE),"")</f>
        <v>0</v>
      </c>
      <c r="S85" s="14">
        <f>_xlfn.IFNA(VLOOKUP($H85,DB!$B:$M,8,FALSE),"")</f>
        <v>0</v>
      </c>
      <c r="T85" s="14" t="str">
        <f>_xlfn.IFNA(VLOOKUP($H85,DB!$B:$M,9,FALSE),"")</f>
        <v>정보 없음</v>
      </c>
      <c r="U85" s="14" t="str">
        <f>_xlfn.IFNA(VLOOKUP($H85,DB!$B:$M,10,FALSE),"")</f>
        <v>정보 없음</v>
      </c>
    </row>
    <row r="86" spans="1:21">
      <c r="C86" s="1" t="s">
        <v>100</v>
      </c>
      <c r="D86" s="1" t="s">
        <v>205</v>
      </c>
      <c r="E86" s="1" t="s">
        <v>356</v>
      </c>
      <c r="F86" s="1" t="s">
        <v>206</v>
      </c>
      <c r="G86" s="1" t="s">
        <v>207</v>
      </c>
      <c r="H86" s="3" t="s">
        <v>87</v>
      </c>
      <c r="I86" s="1">
        <v>309</v>
      </c>
      <c r="J86" s="1" t="s">
        <v>31</v>
      </c>
      <c r="K86" s="1" t="s">
        <v>111</v>
      </c>
      <c r="L86" s="1">
        <v>1</v>
      </c>
      <c r="N86" s="1">
        <f t="shared" si="1"/>
        <v>1</v>
      </c>
      <c r="P86" s="14">
        <f>_xlfn.IFNA(VLOOKUP($H86,DB!$B:$M,5,FALSE),"")</f>
        <v>0</v>
      </c>
      <c r="Q86" s="14">
        <f>_xlfn.IFNA(VLOOKUP($H86,DB!$B:$M,6,FALSE),"")</f>
        <v>0</v>
      </c>
      <c r="R86" s="14">
        <f>_xlfn.IFNA(VLOOKUP($H86,DB!$B:$M,7,FALSE),"")</f>
        <v>0</v>
      </c>
      <c r="S86" s="14">
        <f>_xlfn.IFNA(VLOOKUP($H86,DB!$B:$M,8,FALSE),"")</f>
        <v>0</v>
      </c>
      <c r="T86" s="14" t="str">
        <f>_xlfn.IFNA(VLOOKUP($H86,DB!$B:$M,9,FALSE),"")</f>
        <v>정보 없음</v>
      </c>
      <c r="U86" s="14" t="str">
        <f>_xlfn.IFNA(VLOOKUP($H86,DB!$B:$M,10,FALSE),"")</f>
        <v>정보 없음</v>
      </c>
    </row>
    <row r="87" spans="1:21">
      <c r="C87" s="1" t="s">
        <v>100</v>
      </c>
      <c r="D87" s="1" t="s">
        <v>208</v>
      </c>
      <c r="E87" s="1" t="s">
        <v>356</v>
      </c>
      <c r="F87" s="1" t="s">
        <v>209</v>
      </c>
      <c r="G87" s="1" t="s">
        <v>210</v>
      </c>
      <c r="H87" s="3" t="s">
        <v>87</v>
      </c>
      <c r="I87" s="1">
        <v>309</v>
      </c>
      <c r="J87" s="1" t="s">
        <v>31</v>
      </c>
      <c r="K87" s="1" t="s">
        <v>111</v>
      </c>
      <c r="L87" s="1">
        <v>1</v>
      </c>
      <c r="N87" s="1">
        <f t="shared" si="1"/>
        <v>1</v>
      </c>
      <c r="P87" s="14">
        <f>_xlfn.IFNA(VLOOKUP($H87,DB!$B:$M,5,FALSE),"")</f>
        <v>0</v>
      </c>
      <c r="Q87" s="14">
        <f>_xlfn.IFNA(VLOOKUP($H87,DB!$B:$M,6,FALSE),"")</f>
        <v>0</v>
      </c>
      <c r="R87" s="14">
        <f>_xlfn.IFNA(VLOOKUP($H87,DB!$B:$M,7,FALSE),"")</f>
        <v>0</v>
      </c>
      <c r="S87" s="14">
        <f>_xlfn.IFNA(VLOOKUP($H87,DB!$B:$M,8,FALSE),"")</f>
        <v>0</v>
      </c>
      <c r="T87" s="14" t="str">
        <f>_xlfn.IFNA(VLOOKUP($H87,DB!$B:$M,9,FALSE),"")</f>
        <v>정보 없음</v>
      </c>
      <c r="U87" s="14" t="str">
        <f>_xlfn.IFNA(VLOOKUP($H87,DB!$B:$M,10,FALSE),"")</f>
        <v>정보 없음</v>
      </c>
    </row>
    <row r="88" spans="1:21">
      <c r="C88" s="1" t="s">
        <v>100</v>
      </c>
      <c r="D88" s="1" t="s">
        <v>211</v>
      </c>
      <c r="E88" s="1" t="s">
        <v>356</v>
      </c>
      <c r="F88" s="1" t="s">
        <v>212</v>
      </c>
      <c r="G88" s="1" t="s">
        <v>213</v>
      </c>
      <c r="H88" s="3" t="s">
        <v>87</v>
      </c>
      <c r="I88" s="1">
        <v>309</v>
      </c>
      <c r="J88" s="1" t="s">
        <v>31</v>
      </c>
      <c r="K88" s="1" t="s">
        <v>111</v>
      </c>
      <c r="L88" s="1">
        <v>1</v>
      </c>
      <c r="N88" s="1">
        <f t="shared" si="1"/>
        <v>1</v>
      </c>
      <c r="P88" s="14">
        <f>_xlfn.IFNA(VLOOKUP($H88,DB!$B:$M,5,FALSE),"")</f>
        <v>0</v>
      </c>
      <c r="Q88" s="14">
        <f>_xlfn.IFNA(VLOOKUP($H88,DB!$B:$M,6,FALSE),"")</f>
        <v>0</v>
      </c>
      <c r="R88" s="14">
        <f>_xlfn.IFNA(VLOOKUP($H88,DB!$B:$M,7,FALSE),"")</f>
        <v>0</v>
      </c>
      <c r="S88" s="14">
        <f>_xlfn.IFNA(VLOOKUP($H88,DB!$B:$M,8,FALSE),"")</f>
        <v>0</v>
      </c>
      <c r="T88" s="14" t="str">
        <f>_xlfn.IFNA(VLOOKUP($H88,DB!$B:$M,9,FALSE),"")</f>
        <v>정보 없음</v>
      </c>
      <c r="U88" s="14" t="str">
        <f>_xlfn.IFNA(VLOOKUP($H88,DB!$B:$M,10,FALSE),"")</f>
        <v>정보 없음</v>
      </c>
    </row>
    <row r="89" spans="1:21">
      <c r="C89" s="1" t="s">
        <v>100</v>
      </c>
      <c r="D89" s="1" t="s">
        <v>214</v>
      </c>
      <c r="E89" s="1" t="s">
        <v>356</v>
      </c>
      <c r="F89" s="1" t="s">
        <v>215</v>
      </c>
      <c r="G89" s="1" t="s">
        <v>216</v>
      </c>
      <c r="H89" s="3" t="s">
        <v>87</v>
      </c>
      <c r="I89" s="1">
        <v>309</v>
      </c>
      <c r="J89" s="1" t="s">
        <v>31</v>
      </c>
      <c r="K89" s="1" t="s">
        <v>111</v>
      </c>
      <c r="L89" s="1">
        <v>1</v>
      </c>
      <c r="N89" s="1">
        <f t="shared" si="1"/>
        <v>1</v>
      </c>
      <c r="P89" s="14">
        <f>_xlfn.IFNA(VLOOKUP($H89,DB!$B:$M,5,FALSE),"")</f>
        <v>0</v>
      </c>
      <c r="Q89" s="14">
        <f>_xlfn.IFNA(VLOOKUP($H89,DB!$B:$M,6,FALSE),"")</f>
        <v>0</v>
      </c>
      <c r="R89" s="14">
        <f>_xlfn.IFNA(VLOOKUP($H89,DB!$B:$M,7,FALSE),"")</f>
        <v>0</v>
      </c>
      <c r="S89" s="14">
        <f>_xlfn.IFNA(VLOOKUP($H89,DB!$B:$M,8,FALSE),"")</f>
        <v>0</v>
      </c>
      <c r="T89" s="14" t="str">
        <f>_xlfn.IFNA(VLOOKUP($H89,DB!$B:$M,9,FALSE),"")</f>
        <v>정보 없음</v>
      </c>
      <c r="U89" s="14" t="str">
        <f>_xlfn.IFNA(VLOOKUP($H89,DB!$B:$M,10,FALSE),"")</f>
        <v>정보 없음</v>
      </c>
    </row>
    <row r="90" spans="1:21">
      <c r="C90" s="1" t="s">
        <v>100</v>
      </c>
      <c r="D90" s="1" t="s">
        <v>217</v>
      </c>
      <c r="E90" s="1" t="s">
        <v>356</v>
      </c>
      <c r="F90" s="1" t="s">
        <v>218</v>
      </c>
      <c r="G90" s="1" t="s">
        <v>219</v>
      </c>
      <c r="H90" s="3" t="s">
        <v>87</v>
      </c>
      <c r="I90" s="1">
        <v>309</v>
      </c>
      <c r="J90" s="1" t="s">
        <v>31</v>
      </c>
      <c r="K90" s="1" t="s">
        <v>111</v>
      </c>
      <c r="L90" s="1">
        <v>1</v>
      </c>
      <c r="N90" s="1">
        <f t="shared" si="1"/>
        <v>1</v>
      </c>
      <c r="P90" s="14">
        <f>_xlfn.IFNA(VLOOKUP($H90,DB!$B:$M,5,FALSE),"")</f>
        <v>0</v>
      </c>
      <c r="Q90" s="14">
        <f>_xlfn.IFNA(VLOOKUP($H90,DB!$B:$M,6,FALSE),"")</f>
        <v>0</v>
      </c>
      <c r="R90" s="14">
        <f>_xlfn.IFNA(VLOOKUP($H90,DB!$B:$M,7,FALSE),"")</f>
        <v>0</v>
      </c>
      <c r="S90" s="14">
        <f>_xlfn.IFNA(VLOOKUP($H90,DB!$B:$M,8,FALSE),"")</f>
        <v>0</v>
      </c>
      <c r="T90" s="14" t="str">
        <f>_xlfn.IFNA(VLOOKUP($H90,DB!$B:$M,9,FALSE),"")</f>
        <v>정보 없음</v>
      </c>
      <c r="U90" s="14" t="str">
        <f>_xlfn.IFNA(VLOOKUP($H90,DB!$B:$M,10,FALSE),"")</f>
        <v>정보 없음</v>
      </c>
    </row>
    <row r="91" spans="1:21">
      <c r="C91" s="1" t="s">
        <v>100</v>
      </c>
      <c r="D91" s="1" t="s">
        <v>220</v>
      </c>
      <c r="E91" s="1" t="s">
        <v>356</v>
      </c>
      <c r="F91" s="1" t="s">
        <v>221</v>
      </c>
      <c r="G91" s="1" t="s">
        <v>222</v>
      </c>
      <c r="H91" s="3" t="s">
        <v>87</v>
      </c>
      <c r="I91" s="1">
        <v>309</v>
      </c>
      <c r="J91" s="1" t="s">
        <v>31</v>
      </c>
      <c r="K91" s="1" t="s">
        <v>111</v>
      </c>
      <c r="L91" s="1">
        <v>1</v>
      </c>
      <c r="N91" s="1">
        <f t="shared" si="1"/>
        <v>1</v>
      </c>
      <c r="P91" s="14">
        <f>_xlfn.IFNA(VLOOKUP($H91,DB!$B:$M,5,FALSE),"")</f>
        <v>0</v>
      </c>
      <c r="Q91" s="14">
        <f>_xlfn.IFNA(VLOOKUP($H91,DB!$B:$M,6,FALSE),"")</f>
        <v>0</v>
      </c>
      <c r="R91" s="14">
        <f>_xlfn.IFNA(VLOOKUP($H91,DB!$B:$M,7,FALSE),"")</f>
        <v>0</v>
      </c>
      <c r="S91" s="14">
        <f>_xlfn.IFNA(VLOOKUP($H91,DB!$B:$M,8,FALSE),"")</f>
        <v>0</v>
      </c>
      <c r="T91" s="14" t="str">
        <f>_xlfn.IFNA(VLOOKUP($H91,DB!$B:$M,9,FALSE),"")</f>
        <v>정보 없음</v>
      </c>
      <c r="U91" s="14" t="str">
        <f>_xlfn.IFNA(VLOOKUP($H91,DB!$B:$M,10,FALSE),"")</f>
        <v>정보 없음</v>
      </c>
    </row>
    <row r="92" spans="1:21">
      <c r="C92" s="1" t="s">
        <v>100</v>
      </c>
      <c r="D92" s="1" t="s">
        <v>223</v>
      </c>
      <c r="E92" s="1" t="s">
        <v>356</v>
      </c>
      <c r="F92" s="1" t="s">
        <v>224</v>
      </c>
      <c r="G92" s="1" t="s">
        <v>225</v>
      </c>
      <c r="H92" s="3" t="s">
        <v>87</v>
      </c>
      <c r="I92" s="1">
        <v>309</v>
      </c>
      <c r="J92" s="1" t="s">
        <v>31</v>
      </c>
      <c r="K92" s="1" t="s">
        <v>111</v>
      </c>
      <c r="L92" s="1">
        <v>1</v>
      </c>
      <c r="N92" s="1">
        <f t="shared" si="1"/>
        <v>1</v>
      </c>
      <c r="P92" s="14">
        <f>_xlfn.IFNA(VLOOKUP($H92,DB!$B:$M,5,FALSE),"")</f>
        <v>0</v>
      </c>
      <c r="Q92" s="14">
        <f>_xlfn.IFNA(VLOOKUP($H92,DB!$B:$M,6,FALSE),"")</f>
        <v>0</v>
      </c>
      <c r="R92" s="14">
        <f>_xlfn.IFNA(VLOOKUP($H92,DB!$B:$M,7,FALSE),"")</f>
        <v>0</v>
      </c>
      <c r="S92" s="14">
        <f>_xlfn.IFNA(VLOOKUP($H92,DB!$B:$M,8,FALSE),"")</f>
        <v>0</v>
      </c>
      <c r="T92" s="14" t="str">
        <f>_xlfn.IFNA(VLOOKUP($H92,DB!$B:$M,9,FALSE),"")</f>
        <v>정보 없음</v>
      </c>
      <c r="U92" s="14" t="str">
        <f>_xlfn.IFNA(VLOOKUP($H92,DB!$B:$M,10,FALSE),"")</f>
        <v>정보 없음</v>
      </c>
    </row>
    <row r="93" spans="1:21">
      <c r="C93" s="1" t="s">
        <v>100</v>
      </c>
      <c r="D93" s="1" t="s">
        <v>226</v>
      </c>
      <c r="E93" s="1" t="s">
        <v>356</v>
      </c>
      <c r="F93" s="1" t="s">
        <v>227</v>
      </c>
      <c r="G93" s="1" t="s">
        <v>228</v>
      </c>
      <c r="H93" s="3" t="s">
        <v>87</v>
      </c>
      <c r="I93" s="1">
        <v>309</v>
      </c>
      <c r="J93" s="1" t="s">
        <v>31</v>
      </c>
      <c r="K93" s="1" t="s">
        <v>111</v>
      </c>
      <c r="L93" s="1">
        <v>1</v>
      </c>
      <c r="N93" s="1">
        <f t="shared" si="1"/>
        <v>1</v>
      </c>
      <c r="P93" s="14">
        <f>_xlfn.IFNA(VLOOKUP($H93,DB!$B:$M,5,FALSE),"")</f>
        <v>0</v>
      </c>
      <c r="Q93" s="14">
        <f>_xlfn.IFNA(VLOOKUP($H93,DB!$B:$M,6,FALSE),"")</f>
        <v>0</v>
      </c>
      <c r="R93" s="14">
        <f>_xlfn.IFNA(VLOOKUP($H93,DB!$B:$M,7,FALSE),"")</f>
        <v>0</v>
      </c>
      <c r="S93" s="14">
        <f>_xlfn.IFNA(VLOOKUP($H93,DB!$B:$M,8,FALSE),"")</f>
        <v>0</v>
      </c>
      <c r="T93" s="14" t="str">
        <f>_xlfn.IFNA(VLOOKUP($H93,DB!$B:$M,9,FALSE),"")</f>
        <v>정보 없음</v>
      </c>
      <c r="U93" s="14" t="str">
        <f>_xlfn.IFNA(VLOOKUP($H93,DB!$B:$M,10,FALSE),"")</f>
        <v>정보 없음</v>
      </c>
    </row>
    <row r="94" spans="1:21" ht="33" customHeight="1">
      <c r="A94" s="15" t="s">
        <v>229</v>
      </c>
      <c r="B94" s="3" t="s">
        <v>230</v>
      </c>
      <c r="C94" s="15" t="s">
        <v>231</v>
      </c>
      <c r="D94" s="15" t="s">
        <v>232</v>
      </c>
      <c r="E94" s="16" t="s">
        <v>356</v>
      </c>
      <c r="F94" s="15" t="s">
        <v>233</v>
      </c>
      <c r="G94" s="15" t="s">
        <v>234</v>
      </c>
      <c r="H94" s="25">
        <v>659452</v>
      </c>
      <c r="I94" s="1"/>
      <c r="J94" s="1" t="s">
        <v>46</v>
      </c>
      <c r="K94" s="1"/>
      <c r="L94" s="1">
        <v>1</v>
      </c>
      <c r="M94" s="1"/>
      <c r="N94" s="1">
        <f t="shared" si="1"/>
        <v>1</v>
      </c>
      <c r="O94" s="15"/>
      <c r="P94" s="14">
        <f>_xlfn.IFNA(VLOOKUP($H94,DB!$B:$M,5,FALSE),"")</f>
        <v>0</v>
      </c>
      <c r="Q94" s="14" t="str">
        <f>_xlfn.IFNA(VLOOKUP($H94,DB!$B:$M,6,FALSE),"")</f>
        <v>▲ 경고</v>
      </c>
      <c r="R94" s="14" t="str">
        <f>_xlfn.IFNA(VLOOKUP($H94,DB!$B:$M,7,FALSE),"")</f>
        <v>● 독성, ◆ 자극성/과민성</v>
      </c>
      <c r="S94" s="14" t="str">
        <f>_xlfn.IFNA(VLOOKUP($H94,DB!$B:$M,8,FALSE),"")</f>
        <v>H301: Toxic if swallowed / H319: Causes serious eye irritation</v>
      </c>
      <c r="T94" s="14" t="str">
        <f>_xlfn.IFNA(VLOOKUP($H94,DB!$B:$M,9,FALSE),"")</f>
        <v>https://www.sigmaaldrich.com/KR/ko/product/aldrich/659452</v>
      </c>
      <c r="U94" s="14" t="str">
        <f>_xlfn.IFNA(VLOOKUP($H94,DB!$B:$M,10,FALSE),"")</f>
        <v>https://www.sigmaaldrich.com/KR/ko/sds/aldrich/659452</v>
      </c>
    </row>
    <row r="95" spans="1:21">
      <c r="A95" s="15" t="s">
        <v>240</v>
      </c>
      <c r="B95" s="3" t="s">
        <v>241</v>
      </c>
      <c r="C95" s="15" t="s">
        <v>231</v>
      </c>
      <c r="D95" s="15" t="s">
        <v>242</v>
      </c>
      <c r="E95" s="16" t="s">
        <v>356</v>
      </c>
      <c r="F95" s="15" t="s">
        <v>29</v>
      </c>
      <c r="G95" s="15" t="s">
        <v>243</v>
      </c>
      <c r="H95" s="25">
        <v>402788</v>
      </c>
      <c r="I95" s="1"/>
      <c r="J95" s="1" t="s">
        <v>25</v>
      </c>
      <c r="K95" s="1"/>
      <c r="L95" s="1">
        <v>1</v>
      </c>
      <c r="M95" s="1"/>
      <c r="N95" s="1">
        <f t="shared" si="1"/>
        <v>1</v>
      </c>
      <c r="O95" s="15"/>
      <c r="P95" s="14">
        <f>_xlfn.IFNA(VLOOKUP($H95,DB!$B:$M,5,FALSE),"")</f>
        <v>0</v>
      </c>
      <c r="Q95" s="14" t="str">
        <f>_xlfn.IFNA(VLOOKUP($H95,DB!$B:$M,6,FALSE),"")</f>
        <v>▲ 경고</v>
      </c>
      <c r="R95" s="14" t="str">
        <f>_xlfn.IFNA(VLOOKUP($H95,DB!$B:$M,7,FALSE),"")</f>
        <v>★ 인화성, ◆ 자극성/과민성, ▼ 건강유해</v>
      </c>
      <c r="S95" s="14" t="str">
        <f>_xlfn.IFNA(VLOOKUP($H95,DB!$B:$M,8,FALSE),"")</f>
        <v>H224: Extremely flammable liquid and vapor / H319: Causes serious eye irritation / H335: May cause respiratory irritation / H341: Suspected of causing genetic defects / H350: May cause cancer</v>
      </c>
      <c r="T95" s="14" t="str">
        <f>_xlfn.IFNA(VLOOKUP($H95,DB!$B:$M,9,FALSE),"")</f>
        <v>https://www.sigmaaldrich.com/KR/ko/product/sial/402788</v>
      </c>
      <c r="U95" s="14" t="str">
        <f>_xlfn.IFNA(VLOOKUP($H95,DB!$B:$M,10,FALSE),"")</f>
        <v>https://www.sigmaaldrich.com/KR/ko/sds/aldrich/402788</v>
      </c>
    </row>
    <row r="96" spans="1:21">
      <c r="A96" s="15" t="s">
        <v>248</v>
      </c>
      <c r="B96" s="3" t="s">
        <v>241</v>
      </c>
      <c r="C96" s="15" t="s">
        <v>231</v>
      </c>
      <c r="D96" s="15" t="s">
        <v>249</v>
      </c>
      <c r="E96" s="16" t="s">
        <v>356</v>
      </c>
      <c r="F96" s="15" t="s">
        <v>233</v>
      </c>
      <c r="G96" s="15" t="s">
        <v>250</v>
      </c>
      <c r="H96" s="25">
        <v>8.0236099999999997</v>
      </c>
      <c r="I96" s="1"/>
      <c r="J96" s="1" t="s">
        <v>251</v>
      </c>
      <c r="K96" s="1"/>
      <c r="L96" s="1">
        <v>1</v>
      </c>
      <c r="M96" s="1"/>
      <c r="N96" s="1">
        <f t="shared" si="1"/>
        <v>1</v>
      </c>
      <c r="O96" s="15"/>
      <c r="P96" s="14">
        <f>_xlfn.IFNA(VLOOKUP($H96,DB!$B:$M,5,FALSE),"")</f>
        <v>0</v>
      </c>
      <c r="Q96" s="14" t="str">
        <f>_xlfn.IFNA(VLOOKUP($H96,DB!$B:$M,6,FALSE),"")</f>
        <v>▲ 경고</v>
      </c>
      <c r="R96" s="14" t="str">
        <f>_xlfn.IFNA(VLOOKUP($H96,DB!$B:$M,7,FALSE),"")</f>
        <v>● 독성, ▲ 부식성/눈손상, ◆ 자극성/과민성, ■ 환경유해</v>
      </c>
      <c r="S96" s="14" t="str">
        <f>_xlfn.IFNA(VLOOKUP($H96,DB!$B:$M,8,FALSE),"")</f>
        <v>H315: Causes skin irritation / H317: May cause an allergic skin reaction / H318: Causes serious eye damage / H410: Very toxic to aquatic life with long lasting effects</v>
      </c>
      <c r="T96" s="14" t="str">
        <f>_xlfn.IFNA(VLOOKUP($H96,DB!$B:$M,9,FALSE),"")</f>
        <v>https://www.sigmaaldrich.com/KR/ko/product/mm/802361</v>
      </c>
      <c r="U96" s="14" t="str">
        <f>_xlfn.IFNA(VLOOKUP($H96,DB!$B:$M,10,FALSE),"")</f>
        <v>https://www.sigmaaldrich.com/KR/ko/sds/aldrich/8.02361</v>
      </c>
    </row>
    <row r="97" spans="5:21">
      <c r="E97" s="13" t="s">
        <v>256</v>
      </c>
      <c r="H97" s="26" t="s">
        <v>257</v>
      </c>
      <c r="N97" s="1" t="str">
        <f t="shared" si="1"/>
        <v/>
      </c>
      <c r="P97" s="14">
        <f>_xlfn.IFNA(VLOOKUP($H97,DB!$B:$M,5,FALSE),"")</f>
        <v>0</v>
      </c>
      <c r="Q97" s="14" t="str">
        <f>_xlfn.IFNA(VLOOKUP($H97,DB!$B:$M,6,FALSE),"")</f>
        <v>정보 없음</v>
      </c>
      <c r="R97" s="14" t="str">
        <f>_xlfn.IFNA(VLOOKUP($H97,DB!$B:$M,7,FALSE),"")</f>
        <v>정보 없음</v>
      </c>
      <c r="S97" s="14" t="str">
        <f>_xlfn.IFNA(VLOOKUP($H97,DB!$B:$M,8,FALSE),"")</f>
        <v>정보 없음</v>
      </c>
      <c r="T97" s="14" t="str">
        <f>_xlfn.IFNA(VLOOKUP($H97,DB!$B:$M,9,FALSE),"")</f>
        <v>https://www.sigmaaldrich.com/KR/en/product/aldrich/803200</v>
      </c>
      <c r="U97" s="14" t="str">
        <f>_xlfn.IFNA(VLOOKUP($H97,DB!$B:$M,10,FALSE),"")</f>
        <v>https://www.sigmaaldrich.com/KR/ko/sds/aldrich/803200</v>
      </c>
    </row>
    <row r="98" spans="5:21" ht="33" customHeight="1">
      <c r="E98" s="13" t="s">
        <v>256</v>
      </c>
      <c r="H98" s="26" t="s">
        <v>258</v>
      </c>
      <c r="N98" s="1" t="str">
        <f t="shared" si="1"/>
        <v/>
      </c>
      <c r="P98" s="14">
        <f>_xlfn.IFNA(VLOOKUP($H98,DB!$B:$M,5,FALSE),"")</f>
        <v>0</v>
      </c>
      <c r="Q98" s="14" t="str">
        <f>_xlfn.IFNA(VLOOKUP($H98,DB!$B:$M,6,FALSE),"")</f>
        <v>▲ 경고</v>
      </c>
      <c r="R98" s="14" t="str">
        <f>_xlfn.IFNA(VLOOKUP($H98,DB!$B:$M,7,FALSE),"")</f>
        <v>◆ 자극성/과민성</v>
      </c>
      <c r="S98" s="14" t="str">
        <f>_xlfn.IFNA(VLOOKUP($H98,DB!$B:$M,8,FALSE),"")</f>
        <v>H302: Harmful if swallowed / H315: Causes skin irritation / H317: May cause an allergic skin reaction / H319: Causes serious eye irritation / H335: May cause respiratory irritation</v>
      </c>
      <c r="T98" s="14" t="str">
        <f>_xlfn.IFNA(VLOOKUP($H98,DB!$B:$M,9,FALSE),"")</f>
        <v>https://www.sigmaaldrich.com/KR/ko/product/aldrich/909270</v>
      </c>
      <c r="U98" s="14" t="str">
        <f>_xlfn.IFNA(VLOOKUP($H98,DB!$B:$M,10,FALSE),"")</f>
        <v>https://www.sigmaaldrich.com/KR/ko/sds/aldrich/909270-10G</v>
      </c>
    </row>
    <row r="99" spans="5:21" ht="33" customHeight="1">
      <c r="E99" s="13" t="s">
        <v>259</v>
      </c>
      <c r="H99" s="26" t="s">
        <v>260</v>
      </c>
      <c r="N99" s="1" t="str">
        <f t="shared" si="1"/>
        <v/>
      </c>
      <c r="P99" s="14" t="str">
        <f>_xlfn.IFNA(VLOOKUP($H99,DB!$B:$M,5,FALSE),"")</f>
        <v>N/A</v>
      </c>
      <c r="Q99" s="14" t="str">
        <f>_xlfn.IFNA(VLOOKUP($H99,DB!$B:$M,6,FALSE),"")</f>
        <v>정보 없음</v>
      </c>
      <c r="R99" s="14" t="str">
        <f>_xlfn.IFNA(VLOOKUP($H99,DB!$B:$M,7,FALSE),"")</f>
        <v>정보 없음</v>
      </c>
      <c r="S99" s="14" t="str">
        <f>_xlfn.IFNA(VLOOKUP($H99,DB!$B:$M,8,FALSE),"")</f>
        <v>정보 없음</v>
      </c>
      <c r="T99" s="14" t="str">
        <f>_xlfn.IFNA(VLOOKUP($H99,DB!$B:$M,9,FALSE),"")</f>
        <v>정보 없음</v>
      </c>
      <c r="U99" s="14" t="str">
        <f>_xlfn.IFNA(VLOOKUP($H99,DB!$B:$M,10,FALSE),"")</f>
        <v>정보 없음</v>
      </c>
    </row>
    <row r="100" spans="5:21" ht="33" customHeight="1">
      <c r="E100" s="13" t="s">
        <v>259</v>
      </c>
      <c r="H100" s="26" t="s">
        <v>261</v>
      </c>
      <c r="N100" s="1" t="str">
        <f t="shared" si="1"/>
        <v/>
      </c>
      <c r="P100" s="14">
        <f>_xlfn.IFNA(VLOOKUP($H100,DB!$B:$M,5,FALSE),"")</f>
        <v>0</v>
      </c>
      <c r="Q100" s="14">
        <f>_xlfn.IFNA(VLOOKUP($H100,DB!$B:$M,6,FALSE),"")</f>
        <v>0</v>
      </c>
      <c r="R100" s="14">
        <f>_xlfn.IFNA(VLOOKUP($H100,DB!$B:$M,7,FALSE),"")</f>
        <v>0</v>
      </c>
      <c r="S100" s="14">
        <f>_xlfn.IFNA(VLOOKUP($H100,DB!$B:$M,8,FALSE),"")</f>
        <v>0</v>
      </c>
      <c r="T100" s="14" t="str">
        <f>_xlfn.IFNA(VLOOKUP($H100,DB!$B:$M,9,FALSE),"")</f>
        <v>https://www.thermofisher.com/order/catalog/product/704060F</v>
      </c>
      <c r="U100" s="14" t="str">
        <f>_xlfn.IFNA(VLOOKUP($H100,DB!$B:$M,10,FALSE),"")</f>
        <v>https://www.thermofisher.com/search/browse/results?term=704060F</v>
      </c>
    </row>
    <row r="101" spans="5:21">
      <c r="N101" s="1" t="str">
        <f t="shared" si="1"/>
        <v/>
      </c>
      <c r="P101" s="14" t="str">
        <f>_xlfn.IFNA(VLOOKUP($H101,DB!$B:$M,5,FALSE),"")</f>
        <v/>
      </c>
      <c r="Q101" s="14" t="str">
        <f>_xlfn.IFNA(VLOOKUP($H101,DB!$B:$M,6,FALSE),"")</f>
        <v/>
      </c>
      <c r="R101" s="14" t="str">
        <f>_xlfn.IFNA(VLOOKUP($H101,DB!$B:$M,7,FALSE),"")</f>
        <v/>
      </c>
      <c r="S101" s="14" t="str">
        <f>_xlfn.IFNA(VLOOKUP($H101,DB!$B:$M,8,FALSE),"")</f>
        <v/>
      </c>
      <c r="T101" s="14" t="str">
        <f>_xlfn.IFNA(VLOOKUP($H101,DB!$B:$M,9,FALSE),"")</f>
        <v/>
      </c>
      <c r="U101" s="14" t="str">
        <f>_xlfn.IFNA(VLOOKUP($H101,DB!$B:$M,10,FALSE),"")</f>
        <v/>
      </c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00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0" priority="60" stopIfTrue="1">
      <formula>AND(TRIM(G1001)="", TRIM(D1001)&lt;&gt;"")</formula>
    </cfRule>
  </conditionalFormatting>
  <conditionalFormatting sqref="H1001:H1004">
    <cfRule type="expression" dxfId="9" priority="61" stopIfTrue="1">
      <formula>AND(TRIM(H1001)="", TRIM(D1001)&lt;&gt;"")</formula>
    </cfRule>
  </conditionalFormatting>
  <conditionalFormatting sqref="I1001:I1004">
    <cfRule type="expression" dxfId="8" priority="62" stopIfTrue="1">
      <formula>AND(TRIM(I1001)="", TRIM(D1001)&lt;&gt;"")</formula>
    </cfRule>
  </conditionalFormatting>
  <conditionalFormatting sqref="J1001:J1004">
    <cfRule type="expression" dxfId="7" priority="63" stopIfTrue="1">
      <formula>AND(TRIM(J1001)="", TRIM(D1001)&lt;&gt;"")</formula>
    </cfRule>
  </conditionalFormatting>
  <conditionalFormatting sqref="K1001:K1004">
    <cfRule type="expression" dxfId="6" priority="64" stopIfTrue="1">
      <formula>AND(TRIM(K1001)="", TRIM(D1001)&lt;&gt;"")</formula>
    </cfRule>
  </conditionalFormatting>
  <conditionalFormatting sqref="G2:G1000">
    <cfRule type="expression" dxfId="5" priority="194" stopIfTrue="1">
      <formula>AND(TRIM(G2)="", TRIM(D2)&lt;&gt;"")</formula>
    </cfRule>
  </conditionalFormatting>
  <conditionalFormatting sqref="H2:H1000">
    <cfRule type="expression" dxfId="4" priority="195" stopIfTrue="1">
      <formula>AND(TRIM(H2)="", TRIM(D2)&lt;&gt;"")</formula>
    </cfRule>
  </conditionalFormatting>
  <conditionalFormatting sqref="I2:I1000">
    <cfRule type="expression" dxfId="3" priority="196" stopIfTrue="1">
      <formula>AND(TRIM(I2)="", TRIM(D2)&lt;&gt;"")</formula>
    </cfRule>
  </conditionalFormatting>
  <conditionalFormatting sqref="J2:J1000">
    <cfRule type="expression" dxfId="2" priority="197" stopIfTrue="1">
      <formula>AND(TRIM(J2)="", TRIM(D2)&lt;&gt;"")</formula>
    </cfRule>
  </conditionalFormatting>
  <conditionalFormatting sqref="K2:K1000">
    <cfRule type="expression" dxfId="1" priority="198" stopIfTrue="1">
      <formula>AND(TRIM(K2)="", TRIM(D2)&lt;&gt;"")</formula>
    </cfRule>
  </conditionalFormatting>
  <conditionalFormatting sqref="N2:N1000">
    <cfRule type="cellIs" dxfId="0" priority="199" stopIfTrue="1" operator="equal">
      <formula>"X"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262</v>
      </c>
      <c r="B1" s="1"/>
      <c r="C1" s="2" t="s">
        <v>263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46</v>
      </c>
      <c r="D2" s="1"/>
      <c r="E2" s="1">
        <v>309</v>
      </c>
      <c r="F2" s="1" t="s">
        <v>46</v>
      </c>
      <c r="G2" s="1" t="s">
        <v>42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46</v>
      </c>
      <c r="G3" s="1" t="s">
        <v>47</v>
      </c>
      <c r="H3" s="18" t="str">
        <f t="shared" si="0"/>
        <v>309_RT</v>
      </c>
    </row>
    <row r="4" spans="1:8">
      <c r="A4" s="1">
        <v>1001</v>
      </c>
      <c r="B4" s="1"/>
      <c r="C4" s="1" t="s">
        <v>31</v>
      </c>
      <c r="D4" s="1"/>
      <c r="E4" s="1">
        <v>309</v>
      </c>
      <c r="F4" s="1" t="s">
        <v>46</v>
      </c>
      <c r="G4" s="1" t="s">
        <v>264</v>
      </c>
      <c r="H4" s="18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31</v>
      </c>
      <c r="G5" s="1" t="s">
        <v>111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62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46</v>
      </c>
      <c r="G7" s="1" t="s">
        <v>42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46</v>
      </c>
      <c r="G8" s="1" t="s">
        <v>47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46</v>
      </c>
      <c r="G9" s="1" t="s">
        <v>264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31</v>
      </c>
      <c r="G10" s="1" t="s">
        <v>32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62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265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56</v>
      </c>
      <c r="H13" s="18" t="str">
        <f t="shared" si="0"/>
        <v>1018_DF</v>
      </c>
    </row>
    <row r="14" spans="1:8">
      <c r="E14" s="1">
        <v>1001</v>
      </c>
      <c r="F14" s="1" t="s">
        <v>55</v>
      </c>
      <c r="G14" s="1" t="s">
        <v>62</v>
      </c>
      <c r="H14" s="18" t="str">
        <f t="shared" si="0"/>
        <v>1001_DF</v>
      </c>
    </row>
    <row r="15" spans="1:8">
      <c r="E15" s="1">
        <v>1001</v>
      </c>
      <c r="F15" s="1" t="s">
        <v>46</v>
      </c>
      <c r="G15" s="1" t="s">
        <v>47</v>
      </c>
      <c r="H15" s="18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8" t="str">
        <f t="shared" si="0"/>
        <v>1001_R</v>
      </c>
    </row>
    <row r="17" spans="5:8">
      <c r="E17" s="1">
        <v>1001</v>
      </c>
      <c r="F17" s="1" t="s">
        <v>31</v>
      </c>
      <c r="G17" s="1" t="s">
        <v>32</v>
      </c>
      <c r="H17" s="18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8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G15" sqref="G15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4</v>
      </c>
      <c r="B1" s="18" t="s">
        <v>7</v>
      </c>
      <c r="C1" s="18" t="s">
        <v>3</v>
      </c>
      <c r="D1" s="18" t="s">
        <v>6</v>
      </c>
      <c r="E1" s="18" t="s">
        <v>9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266</v>
      </c>
      <c r="M1" s="18" t="s">
        <v>267</v>
      </c>
    </row>
    <row r="2" spans="1:13">
      <c r="A2" s="18" t="s">
        <v>22</v>
      </c>
      <c r="B2" s="18">
        <v>402788</v>
      </c>
      <c r="C2" s="18" t="s">
        <v>242</v>
      </c>
      <c r="D2" s="18" t="s">
        <v>243</v>
      </c>
      <c r="E2" s="18" t="s">
        <v>25</v>
      </c>
      <c r="F2" s="18"/>
      <c r="G2" s="18" t="s">
        <v>235</v>
      </c>
      <c r="H2" s="18" t="s">
        <v>244</v>
      </c>
      <c r="I2" s="18" t="s">
        <v>245</v>
      </c>
      <c r="J2" s="18" t="s">
        <v>246</v>
      </c>
      <c r="K2" s="18" t="s">
        <v>247</v>
      </c>
      <c r="L2" s="18" t="s">
        <v>268</v>
      </c>
      <c r="M2" s="19">
        <v>46244.862233796302</v>
      </c>
    </row>
    <row r="3" spans="1:13">
      <c r="A3" s="18" t="s">
        <v>22</v>
      </c>
      <c r="B3" s="18">
        <v>8.0236099999999997</v>
      </c>
      <c r="C3" s="18" t="s">
        <v>269</v>
      </c>
      <c r="D3" s="18" t="s">
        <v>250</v>
      </c>
      <c r="E3" s="18" t="s">
        <v>251</v>
      </c>
      <c r="F3" s="18"/>
      <c r="G3" s="18" t="s">
        <v>235</v>
      </c>
      <c r="H3" s="18" t="s">
        <v>252</v>
      </c>
      <c r="I3" s="18" t="s">
        <v>253</v>
      </c>
      <c r="J3" s="18" t="s">
        <v>254</v>
      </c>
      <c r="K3" s="18" t="s">
        <v>255</v>
      </c>
      <c r="L3" s="18" t="s">
        <v>268</v>
      </c>
      <c r="M3" s="19">
        <v>46244.861574074072</v>
      </c>
    </row>
    <row r="4" spans="1:13">
      <c r="A4" s="18" t="s">
        <v>270</v>
      </c>
      <c r="B4" s="18" t="s">
        <v>271</v>
      </c>
      <c r="C4" s="18" t="s">
        <v>28</v>
      </c>
      <c r="D4" s="18" t="s">
        <v>30</v>
      </c>
      <c r="E4" s="18" t="s">
        <v>46</v>
      </c>
      <c r="F4" s="21" t="s">
        <v>322</v>
      </c>
      <c r="G4" s="18" t="s">
        <v>33</v>
      </c>
      <c r="H4" s="18" t="s">
        <v>34</v>
      </c>
      <c r="I4" s="18" t="s">
        <v>35</v>
      </c>
      <c r="J4" s="18" t="s">
        <v>36</v>
      </c>
      <c r="K4" s="18" t="s">
        <v>37</v>
      </c>
      <c r="L4" s="18" t="s">
        <v>268</v>
      </c>
      <c r="M4" s="18" t="s">
        <v>272</v>
      </c>
    </row>
    <row r="5" spans="1:13">
      <c r="A5" s="18" t="s">
        <v>270</v>
      </c>
      <c r="B5" s="18" t="s">
        <v>273</v>
      </c>
      <c r="C5" s="18" t="s">
        <v>69</v>
      </c>
      <c r="D5" s="18" t="s">
        <v>71</v>
      </c>
      <c r="E5" s="18" t="s">
        <v>46</v>
      </c>
      <c r="F5" s="18"/>
      <c r="G5" s="18" t="s">
        <v>268</v>
      </c>
      <c r="H5" s="18" t="s">
        <v>72</v>
      </c>
      <c r="I5" s="18" t="s">
        <v>73</v>
      </c>
      <c r="J5" s="18" t="s">
        <v>74</v>
      </c>
      <c r="K5" s="18" t="s">
        <v>75</v>
      </c>
      <c r="L5" s="18" t="s">
        <v>268</v>
      </c>
      <c r="M5" s="18" t="s">
        <v>274</v>
      </c>
    </row>
    <row r="6" spans="1:13">
      <c r="A6" s="18" t="s">
        <v>270</v>
      </c>
      <c r="B6" s="18" t="s">
        <v>258</v>
      </c>
      <c r="C6" s="18" t="s">
        <v>275</v>
      </c>
      <c r="D6" s="18" t="s">
        <v>276</v>
      </c>
      <c r="E6" s="18" t="s">
        <v>25</v>
      </c>
      <c r="F6" s="18"/>
      <c r="G6" s="18" t="s">
        <v>235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268</v>
      </c>
      <c r="M6" s="18" t="s">
        <v>281</v>
      </c>
    </row>
    <row r="7" spans="1:13">
      <c r="A7" s="18" t="s">
        <v>270</v>
      </c>
      <c r="B7" s="18" t="s">
        <v>257</v>
      </c>
      <c r="C7" s="18" t="s">
        <v>282</v>
      </c>
      <c r="D7" s="18" t="s">
        <v>283</v>
      </c>
      <c r="E7" s="18" t="s">
        <v>25</v>
      </c>
      <c r="F7" s="18"/>
      <c r="G7" s="18" t="s">
        <v>268</v>
      </c>
      <c r="H7" s="18" t="s">
        <v>268</v>
      </c>
      <c r="I7" s="18" t="s">
        <v>268</v>
      </c>
      <c r="J7" s="18" t="s">
        <v>284</v>
      </c>
      <c r="K7" s="18" t="s">
        <v>285</v>
      </c>
      <c r="L7" s="18" t="s">
        <v>268</v>
      </c>
      <c r="M7" s="18" t="s">
        <v>286</v>
      </c>
    </row>
    <row r="8" spans="1:13">
      <c r="A8" s="18" t="s">
        <v>270</v>
      </c>
      <c r="B8" s="18" t="s">
        <v>287</v>
      </c>
      <c r="C8" s="18" t="s">
        <v>288</v>
      </c>
      <c r="D8" s="18" t="s">
        <v>268</v>
      </c>
      <c r="E8" s="18" t="s">
        <v>268</v>
      </c>
      <c r="F8" s="18"/>
      <c r="G8" s="18"/>
      <c r="H8" s="18"/>
      <c r="I8" s="18"/>
      <c r="J8" s="18" t="s">
        <v>27</v>
      </c>
      <c r="K8" s="18" t="s">
        <v>268</v>
      </c>
      <c r="L8" s="18" t="s">
        <v>268</v>
      </c>
      <c r="M8" s="18" t="s">
        <v>289</v>
      </c>
    </row>
    <row r="9" spans="1:13">
      <c r="A9" s="18" t="s">
        <v>270</v>
      </c>
      <c r="B9" s="18" t="s">
        <v>290</v>
      </c>
      <c r="C9" s="18" t="s">
        <v>269</v>
      </c>
      <c r="D9" s="18" t="s">
        <v>250</v>
      </c>
      <c r="E9" s="18" t="s">
        <v>251</v>
      </c>
      <c r="F9" s="18"/>
      <c r="G9" s="18" t="s">
        <v>235</v>
      </c>
      <c r="H9" s="18" t="s">
        <v>252</v>
      </c>
      <c r="I9" s="18" t="s">
        <v>253</v>
      </c>
      <c r="J9" s="18" t="s">
        <v>254</v>
      </c>
      <c r="K9" s="18" t="s">
        <v>255</v>
      </c>
      <c r="L9" s="18" t="s">
        <v>268</v>
      </c>
      <c r="M9" s="18" t="s">
        <v>291</v>
      </c>
    </row>
    <row r="10" spans="1:13">
      <c r="A10" s="18" t="s">
        <v>270</v>
      </c>
      <c r="B10" s="18" t="s">
        <v>292</v>
      </c>
      <c r="C10" s="18" t="s">
        <v>293</v>
      </c>
      <c r="D10" s="18" t="s">
        <v>268</v>
      </c>
      <c r="E10" s="18" t="s">
        <v>268</v>
      </c>
      <c r="F10" s="18"/>
      <c r="G10" s="18"/>
      <c r="H10" s="18"/>
      <c r="I10" s="18"/>
      <c r="J10" s="18" t="s">
        <v>268</v>
      </c>
      <c r="K10" s="18" t="s">
        <v>268</v>
      </c>
      <c r="L10" s="18" t="s">
        <v>268</v>
      </c>
      <c r="M10" s="18" t="s">
        <v>294</v>
      </c>
    </row>
    <row r="11" spans="1:13">
      <c r="A11" s="18" t="s">
        <v>270</v>
      </c>
      <c r="B11" s="18" t="s">
        <v>87</v>
      </c>
      <c r="C11" s="18" t="s">
        <v>293</v>
      </c>
      <c r="D11" s="18" t="s">
        <v>268</v>
      </c>
      <c r="E11" s="18" t="s">
        <v>268</v>
      </c>
      <c r="F11" s="18"/>
      <c r="G11" s="18"/>
      <c r="H11" s="18"/>
      <c r="I11" s="18"/>
      <c r="J11" s="18" t="s">
        <v>268</v>
      </c>
      <c r="K11" s="18" t="s">
        <v>268</v>
      </c>
      <c r="L11" s="18" t="s">
        <v>268</v>
      </c>
      <c r="M11" s="18" t="s">
        <v>295</v>
      </c>
    </row>
    <row r="12" spans="1:13">
      <c r="A12" s="18" t="s">
        <v>270</v>
      </c>
      <c r="B12" s="18" t="s">
        <v>296</v>
      </c>
      <c r="C12" s="18" t="s">
        <v>293</v>
      </c>
      <c r="D12" s="18" t="s">
        <v>268</v>
      </c>
      <c r="E12" s="18" t="s">
        <v>268</v>
      </c>
      <c r="F12" s="18"/>
      <c r="G12" s="18"/>
      <c r="H12" s="18"/>
      <c r="I12" s="18"/>
      <c r="J12" s="18" t="s">
        <v>268</v>
      </c>
      <c r="K12" s="18" t="s">
        <v>268</v>
      </c>
      <c r="L12" s="18" t="s">
        <v>268</v>
      </c>
      <c r="M12" s="18" t="s">
        <v>297</v>
      </c>
    </row>
    <row r="13" spans="1:13">
      <c r="A13" s="18" t="s">
        <v>298</v>
      </c>
      <c r="B13" s="18" t="s">
        <v>299</v>
      </c>
      <c r="C13" s="18" t="s">
        <v>300</v>
      </c>
      <c r="D13" s="18" t="s">
        <v>301</v>
      </c>
      <c r="E13" s="18" t="s">
        <v>268</v>
      </c>
      <c r="F13" s="18"/>
      <c r="G13" s="18"/>
      <c r="H13" s="18"/>
      <c r="I13" s="18"/>
      <c r="J13" s="18" t="s">
        <v>302</v>
      </c>
      <c r="K13" s="18" t="s">
        <v>268</v>
      </c>
      <c r="L13" s="18" t="s">
        <v>268</v>
      </c>
      <c r="M13" s="18" t="s">
        <v>303</v>
      </c>
    </row>
    <row r="14" spans="1:13">
      <c r="A14" s="18" t="s">
        <v>298</v>
      </c>
      <c r="B14" s="18" t="s">
        <v>304</v>
      </c>
      <c r="C14" s="18" t="s">
        <v>305</v>
      </c>
      <c r="D14" s="18" t="s">
        <v>306</v>
      </c>
      <c r="E14" s="18" t="s">
        <v>268</v>
      </c>
      <c r="F14" s="18"/>
      <c r="G14" s="18"/>
      <c r="H14" s="18"/>
      <c r="I14" s="18"/>
      <c r="J14" s="18" t="s">
        <v>307</v>
      </c>
      <c r="K14" s="18" t="s">
        <v>268</v>
      </c>
      <c r="L14" s="18" t="s">
        <v>268</v>
      </c>
      <c r="M14" s="18" t="s">
        <v>308</v>
      </c>
    </row>
    <row r="15" spans="1:13">
      <c r="A15" s="18" t="s">
        <v>309</v>
      </c>
      <c r="B15" s="18" t="s">
        <v>310</v>
      </c>
      <c r="C15" s="18" t="s">
        <v>69</v>
      </c>
      <c r="D15" s="18" t="s">
        <v>268</v>
      </c>
      <c r="E15" s="18" t="s">
        <v>268</v>
      </c>
      <c r="F15" s="18"/>
      <c r="G15" s="18"/>
      <c r="H15" s="18"/>
      <c r="I15" s="18"/>
      <c r="J15" s="18" t="s">
        <v>311</v>
      </c>
      <c r="K15" s="18" t="s">
        <v>312</v>
      </c>
      <c r="L15" s="18" t="s">
        <v>268</v>
      </c>
      <c r="M15" s="18" t="s">
        <v>313</v>
      </c>
    </row>
    <row r="16" spans="1:13">
      <c r="A16" s="18" t="s">
        <v>309</v>
      </c>
      <c r="B16" s="18" t="s">
        <v>314</v>
      </c>
      <c r="C16" s="18" t="s">
        <v>69</v>
      </c>
      <c r="D16" s="18" t="s">
        <v>268</v>
      </c>
      <c r="E16" s="18" t="s">
        <v>268</v>
      </c>
      <c r="F16" s="18"/>
      <c r="G16" s="18"/>
      <c r="H16" s="18"/>
      <c r="I16" s="18"/>
      <c r="J16" s="18" t="s">
        <v>315</v>
      </c>
      <c r="K16" s="18" t="s">
        <v>316</v>
      </c>
      <c r="L16" s="18" t="s">
        <v>268</v>
      </c>
      <c r="M16" s="18" t="s">
        <v>317</v>
      </c>
    </row>
    <row r="17" spans="1:13">
      <c r="A17" s="18" t="s">
        <v>309</v>
      </c>
      <c r="B17" s="18" t="s">
        <v>261</v>
      </c>
      <c r="C17" s="18" t="s">
        <v>275</v>
      </c>
      <c r="D17" s="18" t="s">
        <v>268</v>
      </c>
      <c r="E17" s="18" t="s">
        <v>268</v>
      </c>
      <c r="F17" s="18"/>
      <c r="G17" s="18"/>
      <c r="H17" s="18"/>
      <c r="I17" s="18"/>
      <c r="J17" s="18" t="s">
        <v>318</v>
      </c>
      <c r="K17" s="18" t="s">
        <v>319</v>
      </c>
      <c r="L17" s="18" t="s">
        <v>268</v>
      </c>
      <c r="M17" s="18" t="s">
        <v>320</v>
      </c>
    </row>
    <row r="18" spans="1:13">
      <c r="A18" s="18" t="s">
        <v>309</v>
      </c>
      <c r="B18" s="18" t="s">
        <v>260</v>
      </c>
      <c r="C18" s="18" t="s">
        <v>275</v>
      </c>
      <c r="D18" s="18" t="s">
        <v>321</v>
      </c>
      <c r="E18" s="18" t="s">
        <v>268</v>
      </c>
      <c r="F18" s="18" t="s">
        <v>322</v>
      </c>
      <c r="G18" s="18" t="s">
        <v>268</v>
      </c>
      <c r="H18" s="18" t="s">
        <v>268</v>
      </c>
      <c r="I18" s="18" t="s">
        <v>268</v>
      </c>
      <c r="J18" s="18" t="s">
        <v>268</v>
      </c>
      <c r="K18" s="18" t="s">
        <v>268</v>
      </c>
      <c r="L18" s="18" t="s">
        <v>268</v>
      </c>
      <c r="M18" s="18" t="s">
        <v>323</v>
      </c>
    </row>
    <row r="19" spans="1:13">
      <c r="A19" s="18" t="s">
        <v>256</v>
      </c>
      <c r="B19" s="18">
        <v>659452</v>
      </c>
      <c r="C19" s="18" t="s">
        <v>232</v>
      </c>
      <c r="D19" s="18" t="s">
        <v>234</v>
      </c>
      <c r="E19" s="18" t="s">
        <v>46</v>
      </c>
      <c r="F19" s="18"/>
      <c r="G19" s="20" t="s">
        <v>235</v>
      </c>
      <c r="H19" s="18" t="s">
        <v>236</v>
      </c>
      <c r="I19" s="18" t="s">
        <v>237</v>
      </c>
      <c r="J19" s="18" t="s">
        <v>238</v>
      </c>
      <c r="K19" s="18" t="s">
        <v>239</v>
      </c>
      <c r="L19" s="18" t="s">
        <v>268</v>
      </c>
      <c r="M19" s="19">
        <v>46244.862708333327</v>
      </c>
    </row>
    <row r="20" spans="1:13">
      <c r="A20" s="18" t="s">
        <v>256</v>
      </c>
      <c r="B20" s="18">
        <v>803200</v>
      </c>
      <c r="C20" s="18" t="s">
        <v>282</v>
      </c>
      <c r="D20" s="18" t="s">
        <v>283</v>
      </c>
      <c r="E20" s="18" t="s">
        <v>324</v>
      </c>
      <c r="F20" s="18" t="s">
        <v>268</v>
      </c>
      <c r="G20" s="18" t="s">
        <v>268</v>
      </c>
      <c r="H20" s="18" t="s">
        <v>268</v>
      </c>
      <c r="I20" s="18" t="s">
        <v>325</v>
      </c>
      <c r="J20" s="18" t="s">
        <v>284</v>
      </c>
      <c r="K20" s="18" t="s">
        <v>285</v>
      </c>
      <c r="L20" s="18" t="s">
        <v>326</v>
      </c>
      <c r="M20" s="18" t="s">
        <v>327</v>
      </c>
    </row>
    <row r="21" spans="1:13">
      <c r="A21" s="18">
        <v>1</v>
      </c>
      <c r="B21" s="18">
        <v>1</v>
      </c>
      <c r="C21" s="18" t="s">
        <v>44</v>
      </c>
      <c r="D21" s="18" t="s">
        <v>328</v>
      </c>
      <c r="J21" s="18" t="s">
        <v>328</v>
      </c>
    </row>
    <row r="22" spans="1:13">
      <c r="A22" s="18">
        <v>1</v>
      </c>
      <c r="B22" s="18">
        <v>1</v>
      </c>
      <c r="C22" s="18" t="s">
        <v>44</v>
      </c>
      <c r="D22" s="18" t="s">
        <v>328</v>
      </c>
      <c r="J22" s="18" t="s">
        <v>328</v>
      </c>
    </row>
    <row r="23" spans="1:13">
      <c r="A23" s="18" t="s">
        <v>256</v>
      </c>
      <c r="B23" s="18">
        <v>659452</v>
      </c>
      <c r="C23" s="18" t="s">
        <v>232</v>
      </c>
      <c r="D23" s="18" t="s">
        <v>234</v>
      </c>
      <c r="E23" s="18" t="s">
        <v>268</v>
      </c>
      <c r="F23" s="18" t="s">
        <v>322</v>
      </c>
      <c r="G23" s="20" t="s">
        <v>235</v>
      </c>
      <c r="H23" s="18" t="s">
        <v>236</v>
      </c>
      <c r="I23" s="18" t="s">
        <v>329</v>
      </c>
      <c r="J23" s="18" t="s">
        <v>330</v>
      </c>
      <c r="K23" s="18" t="s">
        <v>239</v>
      </c>
      <c r="L23" s="18" t="s">
        <v>331</v>
      </c>
      <c r="M23" s="17">
        <v>46244.925266203703</v>
      </c>
    </row>
    <row r="24" spans="1:13">
      <c r="A24" s="18" t="s">
        <v>22</v>
      </c>
      <c r="B24" s="18">
        <v>402788</v>
      </c>
      <c r="C24" s="18" t="s">
        <v>242</v>
      </c>
      <c r="D24" s="18" t="s">
        <v>243</v>
      </c>
      <c r="E24" s="18" t="s">
        <v>25</v>
      </c>
      <c r="F24" s="18" t="s">
        <v>322</v>
      </c>
      <c r="G24" s="20" t="s">
        <v>235</v>
      </c>
      <c r="H24" s="18" t="s">
        <v>244</v>
      </c>
      <c r="I24" s="18" t="s">
        <v>332</v>
      </c>
      <c r="J24" s="18" t="s">
        <v>333</v>
      </c>
      <c r="K24" s="18" t="s">
        <v>334</v>
      </c>
      <c r="L24" s="18" t="s">
        <v>335</v>
      </c>
      <c r="M24" s="17">
        <v>46244.925613425927</v>
      </c>
    </row>
    <row r="25" spans="1:13">
      <c r="A25" s="18" t="s">
        <v>51</v>
      </c>
      <c r="B25" s="18" t="s">
        <v>54</v>
      </c>
      <c r="C25" t="s">
        <v>50</v>
      </c>
      <c r="D25" s="18" t="s">
        <v>328</v>
      </c>
      <c r="J25" s="18" t="s">
        <v>328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2" t="s">
        <v>336</v>
      </c>
      <c r="B1" s="23"/>
      <c r="C1" s="23"/>
      <c r="D1" s="23"/>
      <c r="E1" s="23"/>
      <c r="F1" s="23"/>
      <c r="G1" s="23"/>
    </row>
    <row r="3" spans="1:7">
      <c r="A3" s="11" t="s">
        <v>337</v>
      </c>
    </row>
    <row r="4" spans="1:7">
      <c r="A4" s="18" t="s">
        <v>338</v>
      </c>
    </row>
    <row r="5" spans="1:7">
      <c r="A5" s="18" t="s">
        <v>339</v>
      </c>
    </row>
    <row r="6" spans="1:7">
      <c r="A6" s="18" t="s">
        <v>340</v>
      </c>
    </row>
    <row r="7" spans="1:7">
      <c r="A7" s="18" t="s">
        <v>341</v>
      </c>
    </row>
    <row r="9" spans="1:7">
      <c r="A9" s="11" t="s">
        <v>342</v>
      </c>
    </row>
    <row r="10" spans="1:7">
      <c r="A10" s="18" t="s">
        <v>343</v>
      </c>
    </row>
    <row r="11" spans="1:7">
      <c r="A11" s="18" t="s">
        <v>344</v>
      </c>
    </row>
    <row r="12" spans="1:7">
      <c r="A12" s="18" t="s">
        <v>345</v>
      </c>
    </row>
    <row r="13" spans="1:7">
      <c r="A13" s="18" t="s">
        <v>346</v>
      </c>
    </row>
    <row r="14" spans="1:7">
      <c r="A14" s="12" t="s">
        <v>347</v>
      </c>
    </row>
    <row r="15" spans="1:7">
      <c r="A15" s="12" t="s">
        <v>348</v>
      </c>
    </row>
    <row r="16" spans="1:7">
      <c r="A16" s="12" t="s">
        <v>349</v>
      </c>
    </row>
    <row r="17" spans="1:1">
      <c r="A17" s="12" t="s">
        <v>350</v>
      </c>
    </row>
    <row r="18" spans="1:1">
      <c r="A18" s="12" t="s">
        <v>351</v>
      </c>
    </row>
    <row r="20" spans="1:1">
      <c r="A20" s="11" t="s">
        <v>352</v>
      </c>
    </row>
    <row r="21" spans="1:1">
      <c r="A21" s="18" t="s">
        <v>353</v>
      </c>
    </row>
    <row r="22" spans="1:1">
      <c r="A22" s="18" t="s">
        <v>354</v>
      </c>
    </row>
    <row r="23" spans="1:1">
      <c r="A23" s="18" t="s">
        <v>355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2026-08-10T14:01:12Z</dcterms:modified>
</cp:coreProperties>
</file>